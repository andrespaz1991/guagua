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i unidad\PC_HANDRES\SEDUCA\La Josefina\Vallesol\2026\Valoraciones\"/>
    </mc:Choice>
  </mc:AlternateContent>
  <xr:revisionPtr revIDLastSave="0" documentId="13_ncr:1_{5203CB29-1A39-48FF-B8C2-852AD503A674}" xr6:coauthVersionLast="47" xr6:coauthVersionMax="47" xr10:uidLastSave="{00000000-0000-0000-0000-000000000000}"/>
  <bookViews>
    <workbookView xWindow="-108" yWindow="-108" windowWidth="23256" windowHeight="12456" firstSheet="1" activeTab="10" xr2:uid="{BB3592B3-09BD-4506-B55A-36DBF2803925}"/>
  </bookViews>
  <sheets>
    <sheet name="Enero" sheetId="1" r:id="rId1"/>
    <sheet name="Febrero" sheetId="12" r:id="rId2"/>
    <sheet name="Marzo" sheetId="22" r:id="rId3"/>
    <sheet name="Abril" sheetId="23" r:id="rId4"/>
    <sheet name="Mayo" sheetId="24" r:id="rId5"/>
    <sheet name="Junio" sheetId="25" r:id="rId6"/>
    <sheet name="Julio" sheetId="26" r:id="rId7"/>
    <sheet name="Agosto" sheetId="27" r:id="rId8"/>
    <sheet name="Septiembre" sheetId="28" r:id="rId9"/>
    <sheet name="Octubre" sheetId="29" r:id="rId10"/>
    <sheet name="Noviembre" sheetId="30" r:id="rId11"/>
  </sheets>
  <definedNames>
    <definedName name="_xlnm.Print_Area" localSheetId="0">Enero!$A$1:$AD$40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7" i="30" l="1"/>
  <c r="AA37" i="30"/>
  <c r="AB37" i="30"/>
  <c r="AC37" i="30"/>
  <c r="AD37" i="30"/>
  <c r="Z38" i="30"/>
  <c r="AA38" i="30"/>
  <c r="AB38" i="30"/>
  <c r="AC38" i="30"/>
  <c r="AD38" i="30"/>
  <c r="Z39" i="30"/>
  <c r="AA39" i="30"/>
  <c r="AB39" i="30"/>
  <c r="AC39" i="30"/>
  <c r="AD39" i="30"/>
  <c r="AC37" i="29"/>
  <c r="AD37" i="29"/>
  <c r="AE37" i="29"/>
  <c r="AG37" i="29" s="1"/>
  <c r="AF37" i="29"/>
  <c r="AC38" i="29"/>
  <c r="AD38" i="29"/>
  <c r="AE38" i="29"/>
  <c r="AF38" i="29"/>
  <c r="AG38" i="29"/>
  <c r="AC39" i="29"/>
  <c r="AD39" i="29"/>
  <c r="AE39" i="29"/>
  <c r="AF39" i="29"/>
  <c r="AG39" i="29"/>
  <c r="AD37" i="28"/>
  <c r="AE37" i="28"/>
  <c r="AF37" i="28"/>
  <c r="AG37" i="28"/>
  <c r="AH37" i="28"/>
  <c r="AD38" i="28"/>
  <c r="AE38" i="28"/>
  <c r="AF38" i="28"/>
  <c r="AH38" i="28" s="1"/>
  <c r="AG38" i="28"/>
  <c r="AD39" i="28"/>
  <c r="AE39" i="28"/>
  <c r="AF39" i="28"/>
  <c r="AH39" i="28" s="1"/>
  <c r="AG39" i="28"/>
  <c r="AA37" i="27"/>
  <c r="AE37" i="27" s="1"/>
  <c r="AB37" i="27"/>
  <c r="AC37" i="27"/>
  <c r="AD37" i="27"/>
  <c r="AA38" i="27"/>
  <c r="AB38" i="27"/>
  <c r="AC38" i="27"/>
  <c r="AE38" i="27" s="1"/>
  <c r="AD38" i="27"/>
  <c r="AA39" i="27"/>
  <c r="AB39" i="27"/>
  <c r="AC39" i="27"/>
  <c r="AE39" i="27" s="1"/>
  <c r="AD39" i="27"/>
  <c r="AE37" i="26"/>
  <c r="AI37" i="26" s="1"/>
  <c r="AF37" i="26"/>
  <c r="AG37" i="26"/>
  <c r="AH37" i="26"/>
  <c r="AE38" i="26"/>
  <c r="AF38" i="26"/>
  <c r="AG38" i="26"/>
  <c r="AI38" i="26" s="1"/>
  <c r="AH38" i="26"/>
  <c r="AE39" i="26"/>
  <c r="AF39" i="26"/>
  <c r="AG39" i="26"/>
  <c r="AI39" i="26" s="1"/>
  <c r="AH39" i="26"/>
  <c r="Z37" i="25"/>
  <c r="AA37" i="25"/>
  <c r="AB37" i="25"/>
  <c r="AC37" i="25"/>
  <c r="Z38" i="25"/>
  <c r="AA38" i="25"/>
  <c r="AB38" i="25"/>
  <c r="AC38" i="25"/>
  <c r="Z39" i="25"/>
  <c r="AA39" i="25"/>
  <c r="AB39" i="25"/>
  <c r="AC39" i="25"/>
  <c r="AD37" i="25" l="1"/>
  <c r="AD38" i="25"/>
  <c r="AD39" i="25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9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9" i="23"/>
  <c r="AA14" i="23" l="1"/>
  <c r="C40" i="23"/>
  <c r="B40" i="23"/>
  <c r="AB12" i="12" a="1"/>
  <c r="AB12" i="12" s="1"/>
  <c r="AG12" i="12" s="1"/>
  <c r="AA37" i="22" a="1"/>
  <c r="AA37" i="22" s="1"/>
  <c r="AF37" i="22" s="1"/>
  <c r="AB37" i="22"/>
  <c r="AC37" i="22"/>
  <c r="AD37" i="22"/>
  <c r="AE37" i="22"/>
  <c r="AA38" i="22" a="1"/>
  <c r="AA38" i="22"/>
  <c r="AF38" i="22" s="1"/>
  <c r="AB38" i="22"/>
  <c r="AC38" i="22"/>
  <c r="AD38" i="22"/>
  <c r="AE38" i="22"/>
  <c r="AA39" i="22" a="1"/>
  <c r="AA39" i="22" s="1"/>
  <c r="AF39" i="22" s="1"/>
  <c r="AB39" i="22"/>
  <c r="AC39" i="22"/>
  <c r="AD39" i="22"/>
  <c r="AE39" i="22"/>
  <c r="AA40" i="22" a="1"/>
  <c r="AA40" i="22" s="1"/>
  <c r="AF40" i="22" s="1"/>
  <c r="AB40" i="22"/>
  <c r="AC40" i="22"/>
  <c r="AD40" i="22"/>
  <c r="AE40" i="22"/>
  <c r="AA13" i="22" a="1"/>
  <c r="AA13" i="22" s="1"/>
  <c r="AF13" i="22" s="1"/>
  <c r="AA14" i="22" a="1"/>
  <c r="AA14" i="22" s="1"/>
  <c r="AF14" i="22" s="1"/>
  <c r="AA15" i="22" a="1"/>
  <c r="AA15" i="22" s="1"/>
  <c r="AF15" i="22" s="1"/>
  <c r="AA16" i="22" a="1"/>
  <c r="AA16" i="22" s="1"/>
  <c r="AF16" i="22" s="1"/>
  <c r="AA17" i="22" a="1"/>
  <c r="AA17" i="22" s="1"/>
  <c r="AF17" i="22" s="1"/>
  <c r="AA18" i="22" a="1"/>
  <c r="AA18" i="22" s="1"/>
  <c r="AF18" i="22" s="1"/>
  <c r="AA19" i="22" a="1"/>
  <c r="AA19" i="22" s="1"/>
  <c r="AF19" i="22" s="1"/>
  <c r="AA20" i="22" a="1"/>
  <c r="AA20" i="22" s="1"/>
  <c r="AF20" i="22" s="1"/>
  <c r="AA21" i="22" a="1"/>
  <c r="AA21" i="22" s="1"/>
  <c r="AF21" i="22" s="1"/>
  <c r="AA22" i="22" a="1"/>
  <c r="AA22" i="22" s="1"/>
  <c r="AF22" i="22" s="1"/>
  <c r="AA23" i="22" a="1"/>
  <c r="AA23" i="22" s="1"/>
  <c r="AF23" i="22" s="1"/>
  <c r="AA24" i="22" a="1"/>
  <c r="AA24" i="22" s="1"/>
  <c r="AF24" i="22" s="1"/>
  <c r="AA25" i="22" a="1"/>
  <c r="AA25" i="22" s="1"/>
  <c r="AF25" i="22" s="1"/>
  <c r="AA26" i="22" a="1"/>
  <c r="AA26" i="22" s="1"/>
  <c r="AF26" i="22" s="1"/>
  <c r="AA27" i="22" a="1"/>
  <c r="AA27" i="22" s="1"/>
  <c r="AF27" i="22" s="1"/>
  <c r="AA28" i="22" a="1"/>
  <c r="AA28" i="22" s="1"/>
  <c r="AF28" i="22" s="1"/>
  <c r="AA29" i="22" a="1"/>
  <c r="AA29" i="22" s="1"/>
  <c r="AF29" i="22" s="1"/>
  <c r="AA30" i="22" a="1"/>
  <c r="AA30" i="22" s="1"/>
  <c r="AF30" i="22" s="1"/>
  <c r="AA31" i="22" a="1"/>
  <c r="AA31" i="22" s="1"/>
  <c r="AF31" i="22" s="1"/>
  <c r="AA32" i="22" a="1"/>
  <c r="AA32" i="22" s="1"/>
  <c r="AF32" i="22" s="1"/>
  <c r="AA33" i="22" a="1"/>
  <c r="AA33" i="22" s="1"/>
  <c r="AF33" i="22" s="1"/>
  <c r="AA34" i="22" a="1"/>
  <c r="AA34" i="22" s="1"/>
  <c r="AF34" i="22" s="1"/>
  <c r="AA35" i="22" a="1"/>
  <c r="AA35" i="22" s="1"/>
  <c r="AF35" i="22" s="1"/>
  <c r="AA36" i="22" a="1"/>
  <c r="AA36" i="22" s="1"/>
  <c r="AF36" i="22" s="1"/>
  <c r="AA12" i="22" a="1"/>
  <c r="AA12" i="22" s="1"/>
  <c r="AF12" i="22" s="1"/>
  <c r="AB13" i="12" a="1"/>
  <c r="AB13" i="12" s="1"/>
  <c r="AG13" i="12" s="1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36" i="22"/>
  <c r="AD12" i="22"/>
  <c r="AE12" i="12"/>
  <c r="C40" i="22"/>
  <c r="B40" i="22"/>
  <c r="C39" i="22"/>
  <c r="B39" i="22"/>
  <c r="C37" i="22"/>
  <c r="B37" i="22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AG38" i="12"/>
  <c r="AC38" i="12"/>
  <c r="AD38" i="12"/>
  <c r="AE38" i="12"/>
  <c r="AF38" i="12"/>
  <c r="AG14" i="12"/>
  <c r="AG15" i="12"/>
  <c r="AG16" i="12"/>
  <c r="AG17" i="12"/>
  <c r="AG18" i="12"/>
  <c r="AG19" i="12"/>
  <c r="AG20" i="12"/>
  <c r="AG21" i="12"/>
  <c r="AG22" i="12"/>
  <c r="AG23" i="12"/>
  <c r="AG24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F12" i="12"/>
  <c r="AD12" i="12"/>
  <c r="AC12" i="12"/>
  <c r="AC13" i="12"/>
  <c r="AB38" i="12" a="1"/>
  <c r="AB38" i="12" s="1"/>
  <c r="AB39" i="12" a="1"/>
  <c r="AB39" i="12"/>
  <c r="AB40" i="12" a="1"/>
  <c r="AB40" i="12" s="1"/>
  <c r="AB14" i="12" a="1"/>
  <c r="AB14" i="12"/>
  <c r="AB15" i="12" a="1"/>
  <c r="AB15" i="12"/>
  <c r="AB16" i="12" a="1"/>
  <c r="AB16" i="12"/>
  <c r="AB17" i="12" a="1"/>
  <c r="AB17" i="12"/>
  <c r="AB18" i="12" a="1"/>
  <c r="AB18" i="12"/>
  <c r="AB19" i="12" a="1"/>
  <c r="AB19" i="12"/>
  <c r="AB20" i="12" a="1"/>
  <c r="AB20" i="12"/>
  <c r="AB21" i="12" a="1"/>
  <c r="AB21" i="12" s="1"/>
  <c r="AB22" i="12" a="1"/>
  <c r="AB22" i="12"/>
  <c r="AB23" i="12" a="1"/>
  <c r="AB23" i="12"/>
  <c r="AB24" i="12" a="1"/>
  <c r="AB24" i="12" s="1"/>
  <c r="AB25" i="12" a="1"/>
  <c r="AB25" i="12" s="1"/>
  <c r="AG25" i="12" s="1"/>
  <c r="AB26" i="12" a="1"/>
  <c r="AB26" i="12" s="1"/>
  <c r="AB27" i="12" a="1"/>
  <c r="AB27" i="12"/>
  <c r="AB28" i="12" a="1"/>
  <c r="AB28" i="12"/>
  <c r="AB29" i="12" a="1"/>
  <c r="AB29" i="12" s="1"/>
  <c r="AB30" i="12" a="1"/>
  <c r="AB30" i="12" s="1"/>
  <c r="AB31" i="12" a="1"/>
  <c r="AB31" i="12" s="1"/>
  <c r="AB32" i="12" a="1"/>
  <c r="AB32" i="12"/>
  <c r="AB33" i="12" a="1"/>
  <c r="AB33" i="12" s="1"/>
  <c r="AB34" i="12" a="1"/>
  <c r="AB34" i="12"/>
  <c r="AB35" i="12" a="1"/>
  <c r="AB35" i="12" s="1"/>
  <c r="AB36" i="12" a="1"/>
  <c r="AB36" i="12" s="1"/>
  <c r="AB37" i="12" a="1"/>
  <c r="AB37" i="12" s="1"/>
  <c r="P38" i="1"/>
  <c r="U38" i="1" s="1"/>
  <c r="Q38" i="1"/>
  <c r="R38" i="1"/>
  <c r="S38" i="1"/>
  <c r="T38" i="1"/>
  <c r="U16" i="1"/>
  <c r="U13" i="1"/>
  <c r="U14" i="1"/>
  <c r="U15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12" i="1"/>
  <c r="Q12" i="1"/>
  <c r="R12" i="1"/>
  <c r="S12" i="1"/>
  <c r="T12" i="1"/>
  <c r="AE13" i="12" l="1"/>
  <c r="AC39" i="12"/>
  <c r="AD39" i="12"/>
  <c r="AE39" i="12"/>
  <c r="AF39" i="12"/>
  <c r="AC40" i="12"/>
  <c r="AD40" i="12"/>
  <c r="AE40" i="12"/>
  <c r="AF40" i="12"/>
  <c r="B39" i="12"/>
  <c r="C39" i="12"/>
  <c r="B40" i="12"/>
  <c r="C40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13" i="12"/>
  <c r="P39" i="1"/>
  <c r="U39" i="1" s="1"/>
  <c r="P40" i="1"/>
  <c r="U40" i="1" s="1"/>
  <c r="Q29" i="1"/>
  <c r="R29" i="1"/>
  <c r="S29" i="1"/>
  <c r="T29" i="1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D13" i="12"/>
  <c r="Q14" i="1"/>
  <c r="R14" i="1"/>
  <c r="S14" i="1"/>
  <c r="T14" i="1"/>
  <c r="AG39" i="12" l="1"/>
  <c r="AG40" i="12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39" i="1"/>
  <c r="S40" i="1"/>
  <c r="S13" i="1"/>
  <c r="R13" i="1"/>
  <c r="AC36" i="30" l="1"/>
  <c r="AB36" i="30"/>
  <c r="AA36" i="30"/>
  <c r="Z36" i="30"/>
  <c r="AC35" i="30"/>
  <c r="AB35" i="30"/>
  <c r="AA35" i="30"/>
  <c r="Z35" i="30"/>
  <c r="AC34" i="30"/>
  <c r="AB34" i="30"/>
  <c r="AA34" i="30"/>
  <c r="Z34" i="30"/>
  <c r="AC33" i="30"/>
  <c r="AB33" i="30"/>
  <c r="AA33" i="30"/>
  <c r="Z33" i="30"/>
  <c r="AC32" i="30"/>
  <c r="AB32" i="30"/>
  <c r="AA32" i="30"/>
  <c r="Z32" i="30"/>
  <c r="AC31" i="30"/>
  <c r="AB31" i="30"/>
  <c r="AA31" i="30"/>
  <c r="Z31" i="30"/>
  <c r="AC30" i="30"/>
  <c r="AB30" i="30"/>
  <c r="AA30" i="30"/>
  <c r="Z30" i="30"/>
  <c r="AD30" i="30" s="1"/>
  <c r="AC29" i="30"/>
  <c r="AB29" i="30"/>
  <c r="AA29" i="30"/>
  <c r="Z29" i="30"/>
  <c r="AC28" i="30"/>
  <c r="AB28" i="30"/>
  <c r="AA28" i="30"/>
  <c r="Z28" i="30"/>
  <c r="AC27" i="30"/>
  <c r="AB27" i="30"/>
  <c r="AA27" i="30"/>
  <c r="Z27" i="30"/>
  <c r="AC26" i="30"/>
  <c r="AB26" i="30"/>
  <c r="AA26" i="30"/>
  <c r="Z26" i="30"/>
  <c r="AD26" i="30" s="1"/>
  <c r="AC25" i="30"/>
  <c r="AB25" i="30"/>
  <c r="AA25" i="30"/>
  <c r="Z25" i="30"/>
  <c r="AC24" i="30"/>
  <c r="AB24" i="30"/>
  <c r="AA24" i="30"/>
  <c r="Z24" i="30"/>
  <c r="AC23" i="30"/>
  <c r="AB23" i="30"/>
  <c r="AA23" i="30"/>
  <c r="Z23" i="30"/>
  <c r="AC22" i="30"/>
  <c r="AB22" i="30"/>
  <c r="AA22" i="30"/>
  <c r="Z22" i="30"/>
  <c r="AC21" i="30"/>
  <c r="AB21" i="30"/>
  <c r="AA21" i="30"/>
  <c r="Z21" i="30"/>
  <c r="AC20" i="30"/>
  <c r="AB20" i="30"/>
  <c r="AA20" i="30"/>
  <c r="Z20" i="30"/>
  <c r="AC19" i="30"/>
  <c r="AB19" i="30"/>
  <c r="AA19" i="30"/>
  <c r="Z19" i="30"/>
  <c r="AC18" i="30"/>
  <c r="AB18" i="30"/>
  <c r="AA18" i="30"/>
  <c r="Z18" i="30"/>
  <c r="AD18" i="30" s="1"/>
  <c r="AC17" i="30"/>
  <c r="AB17" i="30"/>
  <c r="AA17" i="30"/>
  <c r="Z17" i="30"/>
  <c r="AC16" i="30"/>
  <c r="AB16" i="30"/>
  <c r="AA16" i="30"/>
  <c r="Z16" i="30"/>
  <c r="AC15" i="30"/>
  <c r="AB15" i="30"/>
  <c r="AA15" i="30"/>
  <c r="Z15" i="30"/>
  <c r="AC14" i="30"/>
  <c r="AB14" i="30"/>
  <c r="AA14" i="30"/>
  <c r="Z14" i="30"/>
  <c r="AC13" i="30"/>
  <c r="AB13" i="30"/>
  <c r="AA13" i="30"/>
  <c r="Z13" i="30"/>
  <c r="AC12" i="30"/>
  <c r="AB12" i="30"/>
  <c r="AA12" i="30"/>
  <c r="Z12" i="30"/>
  <c r="AF36" i="29"/>
  <c r="AE36" i="29"/>
  <c r="AD36" i="29"/>
  <c r="AC36" i="29"/>
  <c r="AF35" i="29"/>
  <c r="AE35" i="29"/>
  <c r="AD35" i="29"/>
  <c r="AC35" i="29"/>
  <c r="AF34" i="29"/>
  <c r="AE34" i="29"/>
  <c r="AD34" i="29"/>
  <c r="AC34" i="29"/>
  <c r="AF33" i="29"/>
  <c r="AE33" i="29"/>
  <c r="AD33" i="29"/>
  <c r="AC33" i="29"/>
  <c r="AF32" i="29"/>
  <c r="AE32" i="29"/>
  <c r="AD32" i="29"/>
  <c r="AC32" i="29"/>
  <c r="AF31" i="29"/>
  <c r="AE31" i="29"/>
  <c r="AD31" i="29"/>
  <c r="AC31" i="29"/>
  <c r="AF30" i="29"/>
  <c r="AE30" i="29"/>
  <c r="AD30" i="29"/>
  <c r="AC30" i="29"/>
  <c r="AF29" i="29"/>
  <c r="AE29" i="29"/>
  <c r="AD29" i="29"/>
  <c r="AC29" i="29"/>
  <c r="AF28" i="29"/>
  <c r="AE28" i="29"/>
  <c r="AD28" i="29"/>
  <c r="AC28" i="29"/>
  <c r="AF27" i="29"/>
  <c r="AE27" i="29"/>
  <c r="AD27" i="29"/>
  <c r="AC27" i="29"/>
  <c r="AF26" i="29"/>
  <c r="AE26" i="29"/>
  <c r="AD26" i="29"/>
  <c r="AC26" i="29"/>
  <c r="AF25" i="29"/>
  <c r="AE25" i="29"/>
  <c r="AD25" i="29"/>
  <c r="AC25" i="29"/>
  <c r="AF24" i="29"/>
  <c r="AE24" i="29"/>
  <c r="AD24" i="29"/>
  <c r="AC24" i="29"/>
  <c r="AF23" i="29"/>
  <c r="AE23" i="29"/>
  <c r="AD23" i="29"/>
  <c r="AC23" i="29"/>
  <c r="AF22" i="29"/>
  <c r="AE22" i="29"/>
  <c r="AD22" i="29"/>
  <c r="AC22" i="29"/>
  <c r="AF21" i="29"/>
  <c r="AE21" i="29"/>
  <c r="AD21" i="29"/>
  <c r="AC21" i="29"/>
  <c r="AF20" i="29"/>
  <c r="AE20" i="29"/>
  <c r="AD20" i="29"/>
  <c r="AC20" i="29"/>
  <c r="AF19" i="29"/>
  <c r="AE19" i="29"/>
  <c r="AD19" i="29"/>
  <c r="AC19" i="29"/>
  <c r="AF18" i="29"/>
  <c r="AE18" i="29"/>
  <c r="AD18" i="29"/>
  <c r="AC18" i="29"/>
  <c r="AF17" i="29"/>
  <c r="AE17" i="29"/>
  <c r="AD17" i="29"/>
  <c r="AC17" i="29"/>
  <c r="AF16" i="29"/>
  <c r="AE16" i="29"/>
  <c r="AD16" i="29"/>
  <c r="AC16" i="29"/>
  <c r="AF15" i="29"/>
  <c r="AE15" i="29"/>
  <c r="AD15" i="29"/>
  <c r="AC15" i="29"/>
  <c r="AF14" i="29"/>
  <c r="AE14" i="29"/>
  <c r="AD14" i="29"/>
  <c r="AC14" i="29"/>
  <c r="AF13" i="29"/>
  <c r="AE13" i="29"/>
  <c r="AD13" i="29"/>
  <c r="AC13" i="29"/>
  <c r="AF12" i="29"/>
  <c r="AE12" i="29"/>
  <c r="AD12" i="29"/>
  <c r="AC12" i="29"/>
  <c r="AG36" i="28"/>
  <c r="AF36" i="28"/>
  <c r="AE36" i="28"/>
  <c r="AD36" i="28"/>
  <c r="AG35" i="28"/>
  <c r="AF35" i="28"/>
  <c r="AE35" i="28"/>
  <c r="AD35" i="28"/>
  <c r="AG34" i="28"/>
  <c r="AF34" i="28"/>
  <c r="AE34" i="28"/>
  <c r="AD34" i="28"/>
  <c r="AG33" i="28"/>
  <c r="AF33" i="28"/>
  <c r="AE33" i="28"/>
  <c r="AD33" i="28"/>
  <c r="AH33" i="28" s="1"/>
  <c r="AG32" i="28"/>
  <c r="AF32" i="28"/>
  <c r="AE32" i="28"/>
  <c r="AD32" i="28"/>
  <c r="AG31" i="28"/>
  <c r="AF31" i="28"/>
  <c r="AE31" i="28"/>
  <c r="AD31" i="28"/>
  <c r="AG30" i="28"/>
  <c r="AF30" i="28"/>
  <c r="AE30" i="28"/>
  <c r="AD30" i="28"/>
  <c r="AG29" i="28"/>
  <c r="AF29" i="28"/>
  <c r="AE29" i="28"/>
  <c r="AD29" i="28"/>
  <c r="AG28" i="28"/>
  <c r="AF28" i="28"/>
  <c r="AE28" i="28"/>
  <c r="AD28" i="28"/>
  <c r="AG27" i="28"/>
  <c r="AF27" i="28"/>
  <c r="AE27" i="28"/>
  <c r="AD27" i="28"/>
  <c r="AG26" i="28"/>
  <c r="AF26" i="28"/>
  <c r="AE26" i="28"/>
  <c r="AD26" i="28"/>
  <c r="AG25" i="28"/>
  <c r="AF25" i="28"/>
  <c r="AE25" i="28"/>
  <c r="AD25" i="28"/>
  <c r="AG24" i="28"/>
  <c r="AF24" i="28"/>
  <c r="AE24" i="28"/>
  <c r="AD24" i="28"/>
  <c r="AG23" i="28"/>
  <c r="AF23" i="28"/>
  <c r="AE23" i="28"/>
  <c r="AD23" i="28"/>
  <c r="AG22" i="28"/>
  <c r="AF22" i="28"/>
  <c r="AE22" i="28"/>
  <c r="AD22" i="28"/>
  <c r="AG21" i="28"/>
  <c r="AF21" i="28"/>
  <c r="AE21" i="28"/>
  <c r="AD21" i="28"/>
  <c r="AG20" i="28"/>
  <c r="AF20" i="28"/>
  <c r="AE20" i="28"/>
  <c r="AD20" i="28"/>
  <c r="AG19" i="28"/>
  <c r="AF19" i="28"/>
  <c r="AE19" i="28"/>
  <c r="AD19" i="28"/>
  <c r="AG18" i="28"/>
  <c r="AF18" i="28"/>
  <c r="AE18" i="28"/>
  <c r="AD18" i="28"/>
  <c r="AG17" i="28"/>
  <c r="AF17" i="28"/>
  <c r="AE17" i="28"/>
  <c r="AD17" i="28"/>
  <c r="AG16" i="28"/>
  <c r="AF16" i="28"/>
  <c r="AE16" i="28"/>
  <c r="AD16" i="28"/>
  <c r="AG15" i="28"/>
  <c r="AF15" i="28"/>
  <c r="AE15" i="28"/>
  <c r="AD15" i="28"/>
  <c r="AG14" i="28"/>
  <c r="AF14" i="28"/>
  <c r="AE14" i="28"/>
  <c r="AD14" i="28"/>
  <c r="AG13" i="28"/>
  <c r="AF13" i="28"/>
  <c r="AE13" i="28"/>
  <c r="AD13" i="28"/>
  <c r="AH13" i="28" s="1"/>
  <c r="AG12" i="28"/>
  <c r="AF12" i="28"/>
  <c r="AE12" i="28"/>
  <c r="AD12" i="28"/>
  <c r="AD36" i="27"/>
  <c r="AC36" i="27"/>
  <c r="AB36" i="27"/>
  <c r="AA36" i="27"/>
  <c r="AD35" i="27"/>
  <c r="AC35" i="27"/>
  <c r="AB35" i="27"/>
  <c r="AA35" i="27"/>
  <c r="AD34" i="27"/>
  <c r="AC34" i="27"/>
  <c r="AE34" i="27" s="1"/>
  <c r="AB34" i="27"/>
  <c r="AA34" i="27"/>
  <c r="AD33" i="27"/>
  <c r="AC33" i="27"/>
  <c r="AB33" i="27"/>
  <c r="AA33" i="27"/>
  <c r="AD32" i="27"/>
  <c r="AC32" i="27"/>
  <c r="AB32" i="27"/>
  <c r="AA32" i="27"/>
  <c r="AD31" i="27"/>
  <c r="AC31" i="27"/>
  <c r="AB31" i="27"/>
  <c r="AA31" i="27"/>
  <c r="AD30" i="27"/>
  <c r="AC30" i="27"/>
  <c r="AB30" i="27"/>
  <c r="AA30" i="27"/>
  <c r="AD29" i="27"/>
  <c r="AC29" i="27"/>
  <c r="AB29" i="27"/>
  <c r="AA29" i="27"/>
  <c r="AD28" i="27"/>
  <c r="AC28" i="27"/>
  <c r="AB28" i="27"/>
  <c r="AA28" i="27"/>
  <c r="AD27" i="27"/>
  <c r="AC27" i="27"/>
  <c r="AB27" i="27"/>
  <c r="AA27" i="27"/>
  <c r="AE27" i="27" s="1"/>
  <c r="AD26" i="27"/>
  <c r="AC26" i="27"/>
  <c r="AB26" i="27"/>
  <c r="AA26" i="27"/>
  <c r="AD25" i="27"/>
  <c r="AC25" i="27"/>
  <c r="AB25" i="27"/>
  <c r="AA25" i="27"/>
  <c r="AD24" i="27"/>
  <c r="AC24" i="27"/>
  <c r="AB24" i="27"/>
  <c r="AA24" i="27"/>
  <c r="AD23" i="27"/>
  <c r="AC23" i="27"/>
  <c r="AB23" i="27"/>
  <c r="AA23" i="27"/>
  <c r="AD22" i="27"/>
  <c r="AC22" i="27"/>
  <c r="AE22" i="27" s="1"/>
  <c r="AB22" i="27"/>
  <c r="AA22" i="27"/>
  <c r="AD21" i="27"/>
  <c r="AC21" i="27"/>
  <c r="AB21" i="27"/>
  <c r="AA21" i="27"/>
  <c r="AD20" i="27"/>
  <c r="AC20" i="27"/>
  <c r="AB20" i="27"/>
  <c r="AA20" i="27"/>
  <c r="AD19" i="27"/>
  <c r="AC19" i="27"/>
  <c r="AB19" i="27"/>
  <c r="AA19" i="27"/>
  <c r="AD18" i="27"/>
  <c r="AC18" i="27"/>
  <c r="AB18" i="27"/>
  <c r="AA18" i="27"/>
  <c r="AD17" i="27"/>
  <c r="AC17" i="27"/>
  <c r="AB17" i="27"/>
  <c r="AA17" i="27"/>
  <c r="AD16" i="27"/>
  <c r="AC16" i="27"/>
  <c r="AB16" i="27"/>
  <c r="AA16" i="27"/>
  <c r="AD15" i="27"/>
  <c r="AC15" i="27"/>
  <c r="AB15" i="27"/>
  <c r="AA15" i="27"/>
  <c r="AD14" i="27"/>
  <c r="AC14" i="27"/>
  <c r="AB14" i="27"/>
  <c r="AA14" i="27"/>
  <c r="AD13" i="27"/>
  <c r="AC13" i="27"/>
  <c r="AB13" i="27"/>
  <c r="AA13" i="27"/>
  <c r="AD12" i="27"/>
  <c r="AC12" i="27"/>
  <c r="AB12" i="27"/>
  <c r="AA12" i="27"/>
  <c r="AH36" i="26"/>
  <c r="AG36" i="26"/>
  <c r="AF36" i="26"/>
  <c r="AE36" i="26"/>
  <c r="AH35" i="26"/>
  <c r="AG35" i="26"/>
  <c r="AF35" i="26"/>
  <c r="AE35" i="26"/>
  <c r="AH34" i="26"/>
  <c r="AG34" i="26"/>
  <c r="AF34" i="26"/>
  <c r="AE34" i="26"/>
  <c r="AH33" i="26"/>
  <c r="AG33" i="26"/>
  <c r="AF33" i="26"/>
  <c r="AE33" i="26"/>
  <c r="AH32" i="26"/>
  <c r="AG32" i="26"/>
  <c r="AF32" i="26"/>
  <c r="AE32" i="26"/>
  <c r="AH31" i="26"/>
  <c r="AG31" i="26"/>
  <c r="AF31" i="26"/>
  <c r="AE31" i="26"/>
  <c r="AH30" i="26"/>
  <c r="AG30" i="26"/>
  <c r="AF30" i="26"/>
  <c r="AE30" i="26"/>
  <c r="AH29" i="26"/>
  <c r="AG29" i="26"/>
  <c r="AF29" i="26"/>
  <c r="AE29" i="26"/>
  <c r="AH28" i="26"/>
  <c r="AG28" i="26"/>
  <c r="AF28" i="26"/>
  <c r="AE28" i="26"/>
  <c r="AH27" i="26"/>
  <c r="AG27" i="26"/>
  <c r="AF27" i="26"/>
  <c r="AE27" i="26"/>
  <c r="AH26" i="26"/>
  <c r="AG26" i="26"/>
  <c r="AF26" i="26"/>
  <c r="AE26" i="26"/>
  <c r="AH25" i="26"/>
  <c r="AG25" i="26"/>
  <c r="AF25" i="26"/>
  <c r="AE25" i="26"/>
  <c r="AH24" i="26"/>
  <c r="AG24" i="26"/>
  <c r="AF24" i="26"/>
  <c r="AE24" i="26"/>
  <c r="AH23" i="26"/>
  <c r="AG23" i="26"/>
  <c r="AF23" i="26"/>
  <c r="AE23" i="26"/>
  <c r="AH22" i="26"/>
  <c r="AG22" i="26"/>
  <c r="AF22" i="26"/>
  <c r="AE22" i="26"/>
  <c r="AH21" i="26"/>
  <c r="AG21" i="26"/>
  <c r="AF21" i="26"/>
  <c r="AE21" i="26"/>
  <c r="AH20" i="26"/>
  <c r="AG20" i="26"/>
  <c r="AF20" i="26"/>
  <c r="AE20" i="26"/>
  <c r="AH19" i="26"/>
  <c r="AG19" i="26"/>
  <c r="AF19" i="26"/>
  <c r="AE19" i="26"/>
  <c r="AH18" i="26"/>
  <c r="AG18" i="26"/>
  <c r="AF18" i="26"/>
  <c r="AE18" i="26"/>
  <c r="AH17" i="26"/>
  <c r="AG17" i="26"/>
  <c r="AF17" i="26"/>
  <c r="AE17" i="26"/>
  <c r="AH16" i="26"/>
  <c r="AG16" i="26"/>
  <c r="AF16" i="26"/>
  <c r="AE16" i="26"/>
  <c r="AH15" i="26"/>
  <c r="AG15" i="26"/>
  <c r="AF15" i="26"/>
  <c r="AE15" i="26"/>
  <c r="AH14" i="26"/>
  <c r="AG14" i="26"/>
  <c r="AF14" i="26"/>
  <c r="AE14" i="26"/>
  <c r="AH13" i="26"/>
  <c r="AG13" i="26"/>
  <c r="AF13" i="26"/>
  <c r="AE13" i="26"/>
  <c r="AH12" i="26"/>
  <c r="AG12" i="26"/>
  <c r="AF12" i="26"/>
  <c r="AE12" i="26"/>
  <c r="AC36" i="25"/>
  <c r="AB36" i="25"/>
  <c r="AA36" i="25"/>
  <c r="Z36" i="25"/>
  <c r="AC35" i="25"/>
  <c r="AB35" i="25"/>
  <c r="AA35" i="25"/>
  <c r="Z35" i="25"/>
  <c r="AC34" i="25"/>
  <c r="AB34" i="25"/>
  <c r="AA34" i="25"/>
  <c r="Z34" i="25"/>
  <c r="AC33" i="25"/>
  <c r="AB33" i="25"/>
  <c r="AA33" i="25"/>
  <c r="Z33" i="25"/>
  <c r="AC32" i="25"/>
  <c r="AB32" i="25"/>
  <c r="AA32" i="25"/>
  <c r="Z32" i="25"/>
  <c r="AC31" i="25"/>
  <c r="AB31" i="25"/>
  <c r="AA31" i="25"/>
  <c r="Z31" i="25"/>
  <c r="AC30" i="25"/>
  <c r="AB30" i="25"/>
  <c r="AA30" i="25"/>
  <c r="Z30" i="25"/>
  <c r="AC29" i="25"/>
  <c r="AB29" i="25"/>
  <c r="AA29" i="25"/>
  <c r="Z29" i="25"/>
  <c r="AC28" i="25"/>
  <c r="AB28" i="25"/>
  <c r="AA28" i="25"/>
  <c r="Z28" i="25"/>
  <c r="AC27" i="25"/>
  <c r="AB27" i="25"/>
  <c r="AA27" i="25"/>
  <c r="Z27" i="25"/>
  <c r="AC26" i="25"/>
  <c r="AB26" i="25"/>
  <c r="AA26" i="25"/>
  <c r="Z26" i="25"/>
  <c r="AD26" i="25" s="1"/>
  <c r="AC25" i="25"/>
  <c r="AB25" i="25"/>
  <c r="AA25" i="25"/>
  <c r="Z25" i="25"/>
  <c r="AC24" i="25"/>
  <c r="AB24" i="25"/>
  <c r="AA24" i="25"/>
  <c r="Z24" i="25"/>
  <c r="AC23" i="25"/>
  <c r="AB23" i="25"/>
  <c r="AA23" i="25"/>
  <c r="Z23" i="25"/>
  <c r="AC22" i="25"/>
  <c r="AB22" i="25"/>
  <c r="AA22" i="25"/>
  <c r="Z22" i="25"/>
  <c r="AC21" i="25"/>
  <c r="AB21" i="25"/>
  <c r="AA21" i="25"/>
  <c r="Z21" i="25"/>
  <c r="AC20" i="25"/>
  <c r="AB20" i="25"/>
  <c r="AA20" i="25"/>
  <c r="Z20" i="25"/>
  <c r="AC19" i="25"/>
  <c r="AB19" i="25"/>
  <c r="AA19" i="25"/>
  <c r="Z19" i="25"/>
  <c r="AC18" i="25"/>
  <c r="AB18" i="25"/>
  <c r="AA18" i="25"/>
  <c r="Z18" i="25"/>
  <c r="AC17" i="25"/>
  <c r="AB17" i="25"/>
  <c r="AA17" i="25"/>
  <c r="Z17" i="25"/>
  <c r="AC16" i="25"/>
  <c r="AB16" i="25"/>
  <c r="AA16" i="25"/>
  <c r="Z16" i="25"/>
  <c r="AC15" i="25"/>
  <c r="AB15" i="25"/>
  <c r="AA15" i="25"/>
  <c r="Z15" i="25"/>
  <c r="AC14" i="25"/>
  <c r="AB14" i="25"/>
  <c r="AA14" i="25"/>
  <c r="Z14" i="25"/>
  <c r="AD14" i="25" s="1"/>
  <c r="AC13" i="25"/>
  <c r="AB13" i="25"/>
  <c r="AA13" i="25"/>
  <c r="Z13" i="25"/>
  <c r="AC12" i="25"/>
  <c r="AB12" i="25"/>
  <c r="AA12" i="25"/>
  <c r="Z12" i="25"/>
  <c r="AD36" i="24"/>
  <c r="AC36" i="24"/>
  <c r="AB36" i="24"/>
  <c r="AA36" i="24"/>
  <c r="AE36" i="24" s="1"/>
  <c r="AD35" i="24"/>
  <c r="AC35" i="24"/>
  <c r="AB35" i="24"/>
  <c r="AA35" i="24"/>
  <c r="AD34" i="24"/>
  <c r="AC34" i="24"/>
  <c r="AB34" i="24"/>
  <c r="AA34" i="24"/>
  <c r="AE34" i="24" s="1"/>
  <c r="AD33" i="24"/>
  <c r="AC33" i="24"/>
  <c r="AB33" i="24"/>
  <c r="AA33" i="24"/>
  <c r="AD32" i="24"/>
  <c r="AC32" i="24"/>
  <c r="AB32" i="24"/>
  <c r="AA32" i="24"/>
  <c r="AD31" i="24"/>
  <c r="AC31" i="24"/>
  <c r="AB31" i="24"/>
  <c r="AA31" i="24"/>
  <c r="AD30" i="24"/>
  <c r="AC30" i="24"/>
  <c r="AB30" i="24"/>
  <c r="AA30" i="24"/>
  <c r="AE30" i="24" s="1"/>
  <c r="AD29" i="24"/>
  <c r="AC29" i="24"/>
  <c r="AB29" i="24"/>
  <c r="AA29" i="24"/>
  <c r="AD28" i="24"/>
  <c r="AC28" i="24"/>
  <c r="AB28" i="24"/>
  <c r="AA28" i="24"/>
  <c r="AE28" i="24" s="1"/>
  <c r="AD27" i="24"/>
  <c r="AC27" i="24"/>
  <c r="AB27" i="24"/>
  <c r="AA27" i="24"/>
  <c r="AD26" i="24"/>
  <c r="AC26" i="24"/>
  <c r="AB26" i="24"/>
  <c r="AA26" i="24"/>
  <c r="AD25" i="24"/>
  <c r="AC25" i="24"/>
  <c r="AB25" i="24"/>
  <c r="AA25" i="24"/>
  <c r="AD24" i="24"/>
  <c r="AC24" i="24"/>
  <c r="AB24" i="24"/>
  <c r="AA24" i="24"/>
  <c r="AD23" i="24"/>
  <c r="AC23" i="24"/>
  <c r="AB23" i="24"/>
  <c r="AA23" i="24"/>
  <c r="AD22" i="24"/>
  <c r="AC22" i="24"/>
  <c r="AB22" i="24"/>
  <c r="AA22" i="24"/>
  <c r="AE22" i="24" s="1"/>
  <c r="AD21" i="24"/>
  <c r="AC21" i="24"/>
  <c r="AB21" i="24"/>
  <c r="AA21" i="24"/>
  <c r="AD20" i="24"/>
  <c r="AC20" i="24"/>
  <c r="AB20" i="24"/>
  <c r="AA20" i="24"/>
  <c r="AD19" i="24"/>
  <c r="AC19" i="24"/>
  <c r="AB19" i="24"/>
  <c r="AA19" i="24"/>
  <c r="AD18" i="24"/>
  <c r="AC18" i="24"/>
  <c r="AB18" i="24"/>
  <c r="AA18" i="24"/>
  <c r="AE18" i="24" s="1"/>
  <c r="AD17" i="24"/>
  <c r="AC17" i="24"/>
  <c r="AB17" i="24"/>
  <c r="AA17" i="24"/>
  <c r="AD16" i="24"/>
  <c r="AC16" i="24"/>
  <c r="AB16" i="24"/>
  <c r="AA16" i="24"/>
  <c r="AD15" i="24"/>
  <c r="AC15" i="24"/>
  <c r="AB15" i="24"/>
  <c r="AA15" i="24"/>
  <c r="AD14" i="24"/>
  <c r="AC14" i="24"/>
  <c r="AB14" i="24"/>
  <c r="AA14" i="24"/>
  <c r="AD13" i="24"/>
  <c r="AC13" i="24"/>
  <c r="AB13" i="24"/>
  <c r="AA13" i="24"/>
  <c r="AD12" i="24"/>
  <c r="AC12" i="24"/>
  <c r="AB12" i="24"/>
  <c r="AA12" i="24"/>
  <c r="AD36" i="23"/>
  <c r="AC36" i="23"/>
  <c r="AB36" i="23"/>
  <c r="AA36" i="23"/>
  <c r="AE36" i="23" s="1"/>
  <c r="AD35" i="23"/>
  <c r="AC35" i="23"/>
  <c r="AB35" i="23"/>
  <c r="AA35" i="23"/>
  <c r="AE35" i="23" s="1"/>
  <c r="AD34" i="23"/>
  <c r="AC34" i="23"/>
  <c r="AB34" i="23"/>
  <c r="AA34" i="23"/>
  <c r="AE34" i="23" s="1"/>
  <c r="AD33" i="23"/>
  <c r="AC33" i="23"/>
  <c r="AB33" i="23"/>
  <c r="AA33" i="23"/>
  <c r="AE33" i="23" s="1"/>
  <c r="AD32" i="23"/>
  <c r="AC32" i="23"/>
  <c r="AB32" i="23"/>
  <c r="AA32" i="23"/>
  <c r="AE32" i="23" s="1"/>
  <c r="AD31" i="23"/>
  <c r="AC31" i="23"/>
  <c r="AB31" i="23"/>
  <c r="AA31" i="23"/>
  <c r="AD30" i="23"/>
  <c r="AC30" i="23"/>
  <c r="AB30" i="23"/>
  <c r="AA30" i="23"/>
  <c r="AD29" i="23"/>
  <c r="AC29" i="23"/>
  <c r="AB29" i="23"/>
  <c r="AA29" i="23"/>
  <c r="AD28" i="23"/>
  <c r="AC28" i="23"/>
  <c r="AB28" i="23"/>
  <c r="AA28" i="23"/>
  <c r="AE28" i="23" s="1"/>
  <c r="AD27" i="23"/>
  <c r="AC27" i="23"/>
  <c r="AB27" i="23"/>
  <c r="AA27" i="23"/>
  <c r="AD26" i="23"/>
  <c r="AC26" i="23"/>
  <c r="AB26" i="23"/>
  <c r="AA26" i="23"/>
  <c r="AD25" i="23"/>
  <c r="AC25" i="23"/>
  <c r="AB25" i="23"/>
  <c r="AA25" i="23"/>
  <c r="AD24" i="23"/>
  <c r="AC24" i="23"/>
  <c r="AB24" i="23"/>
  <c r="AA24" i="23"/>
  <c r="AE24" i="23" s="1"/>
  <c r="AD23" i="23"/>
  <c r="AC23" i="23"/>
  <c r="AB23" i="23"/>
  <c r="AA23" i="23"/>
  <c r="AD22" i="23"/>
  <c r="AC22" i="23"/>
  <c r="AB22" i="23"/>
  <c r="AA22" i="23"/>
  <c r="AD21" i="23"/>
  <c r="AC21" i="23"/>
  <c r="AB21" i="23"/>
  <c r="AA21" i="23"/>
  <c r="AD20" i="23"/>
  <c r="AC20" i="23"/>
  <c r="AB20" i="23"/>
  <c r="AA20" i="23"/>
  <c r="AE20" i="23" s="1"/>
  <c r="AD19" i="23"/>
  <c r="AC19" i="23"/>
  <c r="AB19" i="23"/>
  <c r="AA19" i="23"/>
  <c r="AD18" i="23"/>
  <c r="AC18" i="23"/>
  <c r="AB18" i="23"/>
  <c r="AA18" i="23"/>
  <c r="AD17" i="23"/>
  <c r="AC17" i="23"/>
  <c r="AB17" i="23"/>
  <c r="AA17" i="23"/>
  <c r="AD16" i="23"/>
  <c r="AC16" i="23"/>
  <c r="AB16" i="23"/>
  <c r="AA16" i="23"/>
  <c r="AE16" i="23" s="1"/>
  <c r="AD15" i="23"/>
  <c r="AC15" i="23"/>
  <c r="AB15" i="23"/>
  <c r="AA15" i="23"/>
  <c r="AD14" i="23"/>
  <c r="AC14" i="23"/>
  <c r="AB14" i="23"/>
  <c r="AD13" i="23"/>
  <c r="AC13" i="23"/>
  <c r="AB13" i="23"/>
  <c r="AA13" i="23"/>
  <c r="AD12" i="23"/>
  <c r="AC12" i="23"/>
  <c r="AB12" i="23"/>
  <c r="AA12" i="23"/>
  <c r="AE12" i="23" s="1"/>
  <c r="AE36" i="22"/>
  <c r="AC36" i="22"/>
  <c r="AB36" i="22"/>
  <c r="AE35" i="22"/>
  <c r="AC35" i="22"/>
  <c r="AB35" i="22"/>
  <c r="AE34" i="22"/>
  <c r="AC34" i="22"/>
  <c r="AB34" i="22"/>
  <c r="AE33" i="22"/>
  <c r="AC33" i="22"/>
  <c r="AB33" i="22"/>
  <c r="AE32" i="22"/>
  <c r="AC32" i="22"/>
  <c r="AB32" i="22"/>
  <c r="AE31" i="22"/>
  <c r="AC31" i="22"/>
  <c r="AB31" i="22"/>
  <c r="AE30" i="22"/>
  <c r="AC30" i="22"/>
  <c r="AB30" i="22"/>
  <c r="AE29" i="22"/>
  <c r="AC29" i="22"/>
  <c r="AB29" i="22"/>
  <c r="AE28" i="22"/>
  <c r="AC28" i="22"/>
  <c r="AB28" i="22"/>
  <c r="AE27" i="22"/>
  <c r="AC27" i="22"/>
  <c r="AB27" i="22"/>
  <c r="AE26" i="22"/>
  <c r="AC26" i="22"/>
  <c r="AB26" i="22"/>
  <c r="AE25" i="22"/>
  <c r="AC25" i="22"/>
  <c r="AB25" i="22"/>
  <c r="AE24" i="22"/>
  <c r="AC24" i="22"/>
  <c r="AB24" i="22"/>
  <c r="AE23" i="22"/>
  <c r="AC23" i="22"/>
  <c r="AB23" i="22"/>
  <c r="AE22" i="22"/>
  <c r="AC22" i="22"/>
  <c r="AB22" i="22"/>
  <c r="AE21" i="22"/>
  <c r="AC21" i="22"/>
  <c r="AB21" i="22"/>
  <c r="AE20" i="22"/>
  <c r="AC20" i="22"/>
  <c r="AB20" i="22"/>
  <c r="AE19" i="22"/>
  <c r="AC19" i="22"/>
  <c r="AB19" i="22"/>
  <c r="AE18" i="22"/>
  <c r="AC18" i="22"/>
  <c r="AB18" i="22"/>
  <c r="AE17" i="22"/>
  <c r="AC17" i="22"/>
  <c r="AB17" i="22"/>
  <c r="AE16" i="22"/>
  <c r="AC16" i="22"/>
  <c r="AB16" i="22"/>
  <c r="AE15" i="22"/>
  <c r="AC15" i="22"/>
  <c r="AB15" i="22"/>
  <c r="AE14" i="22"/>
  <c r="AC14" i="22"/>
  <c r="AB14" i="22"/>
  <c r="AE13" i="22"/>
  <c r="AC13" i="22"/>
  <c r="AB13" i="22"/>
  <c r="AE12" i="22"/>
  <c r="AC12" i="22"/>
  <c r="AB12" i="22"/>
  <c r="AF37" i="12"/>
  <c r="AD37" i="12"/>
  <c r="AC37" i="12"/>
  <c r="AF36" i="12"/>
  <c r="AD36" i="12"/>
  <c r="AC36" i="12"/>
  <c r="AF35" i="12"/>
  <c r="AD35" i="12"/>
  <c r="AC35" i="12"/>
  <c r="AF34" i="12"/>
  <c r="AD34" i="12"/>
  <c r="AC34" i="12"/>
  <c r="AF33" i="12"/>
  <c r="AD33" i="12"/>
  <c r="AC33" i="12"/>
  <c r="AF32" i="12"/>
  <c r="AD32" i="12"/>
  <c r="AC32" i="12"/>
  <c r="AF31" i="12"/>
  <c r="AD31" i="12"/>
  <c r="AC31" i="12"/>
  <c r="AF30" i="12"/>
  <c r="AD30" i="12"/>
  <c r="AC30" i="12"/>
  <c r="AF29" i="12"/>
  <c r="AD29" i="12"/>
  <c r="AC29" i="12"/>
  <c r="AF28" i="12"/>
  <c r="AD28" i="12"/>
  <c r="AC28" i="12"/>
  <c r="AF27" i="12"/>
  <c r="AD27" i="12"/>
  <c r="AC27" i="12"/>
  <c r="AF26" i="12"/>
  <c r="AD26" i="12"/>
  <c r="AC26" i="12"/>
  <c r="AF25" i="12"/>
  <c r="AD25" i="12"/>
  <c r="AC25" i="12"/>
  <c r="AF24" i="12"/>
  <c r="AD24" i="12"/>
  <c r="AC24" i="12"/>
  <c r="AF23" i="12"/>
  <c r="AD23" i="12"/>
  <c r="AC23" i="12"/>
  <c r="AF22" i="12"/>
  <c r="AD22" i="12"/>
  <c r="AC22" i="12"/>
  <c r="AF21" i="12"/>
  <c r="AD21" i="12"/>
  <c r="AC21" i="12"/>
  <c r="AF20" i="12"/>
  <c r="AD20" i="12"/>
  <c r="AC20" i="12"/>
  <c r="AF19" i="12"/>
  <c r="AD19" i="12"/>
  <c r="AC19" i="12"/>
  <c r="AF18" i="12"/>
  <c r="AD18" i="12"/>
  <c r="AC18" i="12"/>
  <c r="AF17" i="12"/>
  <c r="AD17" i="12"/>
  <c r="AC17" i="12"/>
  <c r="AF16" i="12"/>
  <c r="AD16" i="12"/>
  <c r="AC16" i="12"/>
  <c r="AF15" i="12"/>
  <c r="AD15" i="12"/>
  <c r="AC15" i="12"/>
  <c r="AF14" i="12"/>
  <c r="AD14" i="12"/>
  <c r="AC14" i="12"/>
  <c r="AF13" i="12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7" i="1"/>
  <c r="R39" i="1"/>
  <c r="R40" i="1"/>
  <c r="T26" i="1"/>
  <c r="T27" i="1"/>
  <c r="T28" i="1"/>
  <c r="T30" i="1"/>
  <c r="T31" i="1"/>
  <c r="T32" i="1"/>
  <c r="T33" i="1"/>
  <c r="T34" i="1"/>
  <c r="T35" i="1"/>
  <c r="T36" i="1"/>
  <c r="T37" i="1"/>
  <c r="T39" i="1"/>
  <c r="T40" i="1"/>
  <c r="Q26" i="1"/>
  <c r="Q27" i="1"/>
  <c r="Q28" i="1"/>
  <c r="Q30" i="1"/>
  <c r="Q31" i="1"/>
  <c r="Q32" i="1"/>
  <c r="Q33" i="1"/>
  <c r="Q34" i="1"/>
  <c r="Q35" i="1"/>
  <c r="Q36" i="1"/>
  <c r="Q37" i="1"/>
  <c r="Q39" i="1"/>
  <c r="Q40" i="1"/>
  <c r="T13" i="1"/>
  <c r="Q13" i="1"/>
  <c r="T15" i="1"/>
  <c r="Q15" i="1"/>
  <c r="T16" i="1"/>
  <c r="Q16" i="1"/>
  <c r="T18" i="1"/>
  <c r="T19" i="1"/>
  <c r="T20" i="1"/>
  <c r="T21" i="1"/>
  <c r="T22" i="1"/>
  <c r="T23" i="1"/>
  <c r="T24" i="1"/>
  <c r="T25" i="1"/>
  <c r="Q18" i="1"/>
  <c r="Q19" i="1"/>
  <c r="Q20" i="1"/>
  <c r="Q21" i="1"/>
  <c r="Q22" i="1"/>
  <c r="Q23" i="1"/>
  <c r="Q24" i="1"/>
  <c r="Q25" i="1"/>
  <c r="T17" i="1"/>
  <c r="Q17" i="1"/>
  <c r="AD12" i="30" l="1"/>
  <c r="AD16" i="30"/>
  <c r="AD20" i="30"/>
  <c r="AD24" i="30"/>
  <c r="AD28" i="30"/>
  <c r="AD32" i="30"/>
  <c r="AD36" i="30"/>
  <c r="AD35" i="30"/>
  <c r="AD15" i="30"/>
  <c r="AD23" i="30"/>
  <c r="AD27" i="30"/>
  <c r="AD14" i="30"/>
  <c r="AD13" i="30"/>
  <c r="AD17" i="30"/>
  <c r="AD21" i="30"/>
  <c r="AD25" i="30"/>
  <c r="AD29" i="30"/>
  <c r="AD33" i="30"/>
  <c r="AG15" i="29"/>
  <c r="AG27" i="29"/>
  <c r="AG31" i="29"/>
  <c r="AG12" i="29"/>
  <c r="AG24" i="29"/>
  <c r="AG36" i="29"/>
  <c r="AG29" i="29"/>
  <c r="AG18" i="29"/>
  <c r="AG30" i="29"/>
  <c r="AG19" i="29"/>
  <c r="AG17" i="29"/>
  <c r="AG21" i="29"/>
  <c r="AG33" i="29"/>
  <c r="AG16" i="29"/>
  <c r="AG28" i="29"/>
  <c r="AH12" i="28"/>
  <c r="AH36" i="28"/>
  <c r="AH17" i="28"/>
  <c r="AH21" i="28"/>
  <c r="AH25" i="28"/>
  <c r="AH29" i="28"/>
  <c r="AH14" i="28"/>
  <c r="AH18" i="28"/>
  <c r="AH22" i="28"/>
  <c r="AH26" i="28"/>
  <c r="AH30" i="28"/>
  <c r="AH34" i="28"/>
  <c r="AH35" i="28"/>
  <c r="AH15" i="28"/>
  <c r="AH23" i="28"/>
  <c r="AH27" i="28"/>
  <c r="AH16" i="28"/>
  <c r="AH20" i="28"/>
  <c r="AH24" i="28"/>
  <c r="AH28" i="28"/>
  <c r="AH32" i="28"/>
  <c r="AE32" i="27"/>
  <c r="AE36" i="27"/>
  <c r="AE12" i="27"/>
  <c r="AE20" i="27"/>
  <c r="AE24" i="27"/>
  <c r="AE19" i="27"/>
  <c r="AE31" i="27"/>
  <c r="AE13" i="27"/>
  <c r="AE25" i="27"/>
  <c r="AE35" i="27"/>
  <c r="AE15" i="27"/>
  <c r="AE23" i="27"/>
  <c r="AE16" i="27"/>
  <c r="AE28" i="27"/>
  <c r="AE17" i="27"/>
  <c r="AE21" i="27"/>
  <c r="AE29" i="27"/>
  <c r="AE33" i="27"/>
  <c r="AE14" i="27"/>
  <c r="AE18" i="27"/>
  <c r="AE26" i="27"/>
  <c r="AE30" i="27"/>
  <c r="AD18" i="25"/>
  <c r="AD35" i="25"/>
  <c r="AD15" i="25"/>
  <c r="AD23" i="25"/>
  <c r="AD27" i="25"/>
  <c r="AD33" i="25"/>
  <c r="AD13" i="25"/>
  <c r="AD17" i="25"/>
  <c r="AD21" i="25"/>
  <c r="AD25" i="25"/>
  <c r="AD29" i="25"/>
  <c r="AD30" i="25"/>
  <c r="AD36" i="25"/>
  <c r="AD12" i="25"/>
  <c r="AD20" i="25"/>
  <c r="AD24" i="25"/>
  <c r="AD32" i="25"/>
  <c r="AE14" i="23"/>
  <c r="AE18" i="23"/>
  <c r="AE22" i="23"/>
  <c r="AE26" i="23"/>
  <c r="AE30" i="23"/>
  <c r="AD19" i="30"/>
  <c r="AD22" i="30"/>
  <c r="AD31" i="30"/>
  <c r="AD34" i="30"/>
  <c r="AG35" i="29"/>
  <c r="AG14" i="29"/>
  <c r="AG20" i="29"/>
  <c r="AG23" i="29"/>
  <c r="AG26" i="29"/>
  <c r="AG32" i="29"/>
  <c r="AG13" i="29"/>
  <c r="AG22" i="29"/>
  <c r="AG25" i="29"/>
  <c r="AG34" i="29"/>
  <c r="AH19" i="28"/>
  <c r="AH31" i="28"/>
  <c r="AD16" i="25"/>
  <c r="AD19" i="25"/>
  <c r="AD22" i="25"/>
  <c r="AD28" i="25"/>
  <c r="AD31" i="25"/>
  <c r="AD34" i="25"/>
  <c r="AE25" i="24"/>
  <c r="AE20" i="24"/>
  <c r="AE26" i="24"/>
  <c r="AE17" i="23"/>
  <c r="AE27" i="23"/>
  <c r="AE19" i="23"/>
  <c r="AE25" i="23"/>
  <c r="AI18" i="26"/>
  <c r="AI20" i="26"/>
  <c r="AI22" i="26"/>
  <c r="AI26" i="26"/>
  <c r="AI28" i="26"/>
  <c r="AI30" i="26"/>
  <c r="AI34" i="26"/>
  <c r="AI36" i="26"/>
  <c r="AI25" i="26"/>
  <c r="AI27" i="26"/>
  <c r="AI33" i="26"/>
  <c r="AI14" i="26"/>
  <c r="AI16" i="26"/>
  <c r="AI13" i="26"/>
  <c r="AI15" i="26"/>
  <c r="AI17" i="26"/>
  <c r="AI21" i="26"/>
  <c r="AI23" i="26"/>
  <c r="AI32" i="26"/>
  <c r="AI35" i="26"/>
  <c r="AI24" i="26"/>
  <c r="AI12" i="26"/>
  <c r="AI19" i="26"/>
  <c r="AI29" i="26"/>
  <c r="AI31" i="26"/>
  <c r="AE27" i="24"/>
  <c r="AE33" i="24"/>
  <c r="AE14" i="24"/>
  <c r="AE16" i="24"/>
  <c r="AE13" i="24"/>
  <c r="AE15" i="24"/>
  <c r="AE17" i="24"/>
  <c r="AE21" i="24"/>
  <c r="AE23" i="24"/>
  <c r="AE32" i="24"/>
  <c r="AE12" i="24"/>
  <c r="AE19" i="24"/>
  <c r="AE29" i="24"/>
  <c r="AE35" i="24"/>
  <c r="AE24" i="24"/>
  <c r="AE31" i="24"/>
  <c r="AE13" i="23"/>
  <c r="AE15" i="23"/>
  <c r="AE21" i="23"/>
  <c r="AE23" i="23"/>
  <c r="AE29" i="23"/>
  <c r="AE3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tc={B2D6E3EE-7A80-4AF9-B4FF-F7CF179E5B67}</author>
    <author>tc={27C78889-7D33-406D-824E-30694121961E}</author>
  </authors>
  <commentList>
    <comment ref="K14" authorId="0" shapeId="0" xr:uid="{B2D6E3EE-7A80-4AF9-B4FF-F7CF179E5B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Entro hoy a la escuela</t>
      </text>
    </comment>
    <comment ref="K29" authorId="1" shapeId="0" xr:uid="{27C78889-7D33-406D-824E-3069412196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Entro hoy a la escuela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tc={5BE895CF-0C8F-4F04-8AE2-EA0DE61C3DDB}</author>
    <author>tc={535D4455-37EC-4FC6-A3BA-25D679E6A1CA}</author>
  </authors>
  <commentList>
    <comment ref="L24" authorId="0" shapeId="0" xr:uid="{5BE895CF-0C8F-4F04-8AE2-EA0DE61C3DD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salió de clase antes de tiempo
</t>
      </text>
    </comment>
    <comment ref="D37" authorId="1" shapeId="0" xr:uid="{535D4455-37EC-4FC6-A3BA-25D679E6A1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Penso que la entrada era a las 8 am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<sst xmlns="http://schemas.openxmlformats.org/spreadsheetml/2006/main" count="606" uniqueCount="85">
  <si>
    <t>NOMBRES Y APELLIDOS</t>
  </si>
  <si>
    <t>ASISTENCIA</t>
  </si>
  <si>
    <t>FALTAS</t>
  </si>
  <si>
    <t>TARDE</t>
  </si>
  <si>
    <t>JUSTIFICACIÓN</t>
  </si>
  <si>
    <t>% ASISTENCIA</t>
  </si>
  <si>
    <t>J</t>
  </si>
  <si>
    <t>GRADO</t>
  </si>
  <si>
    <t>N°</t>
  </si>
  <si>
    <t>VALORES PARA LLENAR LA ASISTENCIA</t>
  </si>
  <si>
    <t>Asistio</t>
  </si>
  <si>
    <t xml:space="preserve">T </t>
  </si>
  <si>
    <t>Llegada tarde</t>
  </si>
  <si>
    <t>Justificación</t>
  </si>
  <si>
    <t>No asistio (faltas)</t>
  </si>
  <si>
    <r>
      <t xml:space="preserve">Código: </t>
    </r>
    <r>
      <rPr>
        <sz val="11"/>
        <color theme="1"/>
        <rFont val="Aptos Narrow"/>
        <family val="2"/>
        <scheme val="minor"/>
      </rPr>
      <t>IERLJ_AE_06</t>
    </r>
  </si>
  <si>
    <r>
      <t>Versión:</t>
    </r>
    <r>
      <rPr>
        <sz val="11"/>
        <color theme="1"/>
        <rFont val="Aptos Narrow"/>
        <family val="2"/>
        <scheme val="minor"/>
      </rPr>
      <t xml:space="preserve"> 1.0</t>
    </r>
  </si>
  <si>
    <r>
      <t>Página:</t>
    </r>
    <r>
      <rPr>
        <sz val="11"/>
        <color theme="1"/>
        <rFont val="Aptos Narrow"/>
        <family val="2"/>
        <scheme val="minor"/>
      </rPr>
      <t xml:space="preserve"> 1 de 1</t>
    </r>
  </si>
  <si>
    <t>SEGUIMIENTO A LA ASISTENCIA</t>
  </si>
  <si>
    <t>Docente:</t>
  </si>
  <si>
    <t>Sede</t>
  </si>
  <si>
    <t>Área/Asignaura</t>
  </si>
  <si>
    <t>Año</t>
  </si>
  <si>
    <t>Mes</t>
  </si>
  <si>
    <t>Andres Paz</t>
  </si>
  <si>
    <t>Dávila Bedoya Kevin Alejandro</t>
  </si>
  <si>
    <t>Vera Figuera Branyelis Del Carmen</t>
  </si>
  <si>
    <t>Adrianza Figuera Brainer Josué</t>
  </si>
  <si>
    <t>Chavarría Valencia Dylan Alexis</t>
  </si>
  <si>
    <t>Giraldo Ceballos Miguel Angel</t>
  </si>
  <si>
    <t>Hincapié Muñoz Juan Pablo</t>
  </si>
  <si>
    <t>Jiménez Muñoz Alejandro</t>
  </si>
  <si>
    <t>Rodríguez Correa Dubian Esteban</t>
  </si>
  <si>
    <t>Valencia Virgen Alexandra</t>
  </si>
  <si>
    <t>Caviedes Hernández Juan Manuel</t>
  </si>
  <si>
    <t>Orozco Chavarría Cristóbal</t>
  </si>
  <si>
    <t>Velásquez Muñoz Anyely Tatiana</t>
  </si>
  <si>
    <t>Dávila Bedoya Evelin Sofía</t>
  </si>
  <si>
    <t>Duque Aristizabal Ángel Gabriel</t>
  </si>
  <si>
    <t>Eusse Castañeda María Fernanda</t>
  </si>
  <si>
    <t>Giraldo Giraldo Juan Camilo</t>
  </si>
  <si>
    <t>Gómez Vergara Michael Estiven</t>
  </si>
  <si>
    <t>López Aguirre Alexis</t>
  </si>
  <si>
    <t>Duque Aristizabal Yennifer</t>
  </si>
  <si>
    <t>García Navarro Sebastian Camilo</t>
  </si>
  <si>
    <t>Gallego Giraldo Marlon</t>
  </si>
  <si>
    <t>Gómez Pamplona Julieta</t>
  </si>
  <si>
    <t>González Martínez Salomé</t>
  </si>
  <si>
    <t>Valencia Vásquez Anderson</t>
  </si>
  <si>
    <t>Caviedes Hernández Cristina</t>
  </si>
  <si>
    <t>U</t>
  </si>
  <si>
    <t>Uniforme</t>
  </si>
  <si>
    <t>UNIFORME</t>
  </si>
  <si>
    <t>Franco Barraza Maria Jose</t>
  </si>
  <si>
    <t>Franco Barraza Gyshet Johanna</t>
  </si>
  <si>
    <t>Barrientos Gallo  Juan Sebastian</t>
  </si>
  <si>
    <t>Lezcano Morillo Edwin Alexander</t>
  </si>
  <si>
    <t>FRANCO BARRAZA MARIA JOSE</t>
  </si>
  <si>
    <t>VERA FIGUERA BRANYELIS DEL CARMEN</t>
  </si>
  <si>
    <t xml:space="preserve">BARRIENTOS GALLO JUAN SEBASTIAN </t>
  </si>
  <si>
    <t>ADRIANZA FIGUERA BRAINER JOSUÉ</t>
  </si>
  <si>
    <t>CHAVARRÍA VALENCIA DYLAN ALEXIS</t>
  </si>
  <si>
    <t>GIRALDO CEBALLOS MIGUEL ANGEL</t>
  </si>
  <si>
    <t>HINCAPIÉ MUÑOZ JUAN PABLO</t>
  </si>
  <si>
    <t>JIMÉNEZ MUÑOZ ALEJANDRO</t>
  </si>
  <si>
    <t>RODRÍGUEZ CORREA DUBIAN ESTEBAN</t>
  </si>
  <si>
    <t>VALENCIA VIRGEN ALEXANDRA</t>
  </si>
  <si>
    <t>CAVIEDES HERNÁNDEZ JUAN MANUEL</t>
  </si>
  <si>
    <t>OROZCO CHAVARRÍA CRISTÓBAL</t>
  </si>
  <si>
    <t>VELÁSQUEZ MUÑOZ ANYELY TATIANA</t>
  </si>
  <si>
    <t>LEZCANO MORILLO DUVAN ALEXANDER</t>
  </si>
  <si>
    <t>CASTRILLON HERRERA JUAN PABLO</t>
  </si>
  <si>
    <t>DUQUE ARISTIZABAL ÁNGEL GABRIEL</t>
  </si>
  <si>
    <t xml:space="preserve"> FRANCO BARRAZA GYSHET JOHANNA</t>
  </si>
  <si>
    <t>GIRALDO GIRALDO JUAN CAMILO</t>
  </si>
  <si>
    <t>GÓMEZ VERGARA MICHAEL STIVEN</t>
  </si>
  <si>
    <t>LÓPEZ AGUIRRE ALEXIS</t>
  </si>
  <si>
    <t>DUQUE ARISTIZABAL YENNIFER TATIANA</t>
  </si>
  <si>
    <t>GARCÍA NAVARRO SEBASTIAN CAMILO</t>
  </si>
  <si>
    <t>GALLEGO GIRALDO MARLON</t>
  </si>
  <si>
    <t>GÓMEZ PAMPLONA JULIETA</t>
  </si>
  <si>
    <t>GONZÁLEZ MARTÍNEZ SALOMÉ</t>
  </si>
  <si>
    <t>LEZCANO MORILLO EDWIN ALEXANDER</t>
  </si>
  <si>
    <t>VALENCIA VÁSQUEZ ANDERSON</t>
  </si>
  <si>
    <t>CAVIEDES HERNÁNDEZ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</si>
</sst>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2" xfId="0" applyFont="1" applyFill="1" applyBorder="1" applyAlignment="1">
      <alignment vertical="center"/>
    </xf>
    <xf numFmtId="9" fontId="0" fillId="3" borderId="12" xfId="1" applyFont="1" applyFill="1" applyBorder="1"/>
    <xf numFmtId="0" fontId="2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/>
    <xf numFmtId="0" fontId="0" fillId="0" borderId="21" xfId="0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2" fillId="0" borderId="22" xfId="0" applyFont="1" applyBorder="1"/>
    <xf numFmtId="0" fontId="0" fillId="0" borderId="22" xfId="0" applyBorder="1"/>
    <xf numFmtId="0" fontId="0" fillId="0" borderId="23" xfId="0" applyBorder="1"/>
    <xf numFmtId="0" fontId="2" fillId="0" borderId="3" xfId="0" applyFont="1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0" fontId="2" fillId="0" borderId="10" xfId="0" applyFont="1" applyBorder="1"/>
    <xf numFmtId="0" fontId="0" fillId="0" borderId="10" xfId="0" applyBorder="1"/>
    <xf numFmtId="0" fontId="0" fillId="5" borderId="0" xfId="0" applyFill="1" applyAlignment="1">
      <alignment horizontal="center"/>
    </xf>
    <xf numFmtId="0" fontId="2" fillId="0" borderId="8" xfId="0" applyFont="1" applyBorder="1"/>
    <xf numFmtId="0" fontId="0" fillId="0" borderId="8" xfId="0" applyBorder="1"/>
    <xf numFmtId="0" fontId="0" fillId="0" borderId="11" xfId="0" applyBorder="1"/>
    <xf numFmtId="0" fontId="0" fillId="7" borderId="10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20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3" fillId="2" borderId="12" xfId="0" applyFont="1" applyFill="1" applyBorder="1" applyAlignment="1">
      <alignment horizontal="left" vertical="center"/>
    </xf>
    <xf numFmtId="0" fontId="5" fillId="8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2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269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FF00"/>
      </font>
      <fill>
        <patternFill>
          <bgColor rgb="FFFF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ill>
        <patternFill>
          <bgColor theme="3" tint="0.749961851863155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22</xdr:row>
      <xdr:rowOff>117275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26FDBE0-23ED-47ED-BAB9-F5B09E7D13CE}"/>
            </a:ext>
          </a:extLst>
        </xdr:cNvPr>
        <xdr:cNvSpPr txBox="1"/>
      </xdr:nvSpPr>
      <xdr:spPr>
        <a:xfrm rot="16200000">
          <a:off x="3976236" y="44679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203142</xdr:colOff>
      <xdr:row>21</xdr:row>
      <xdr:rowOff>174425</xdr:rowOff>
    </xdr:from>
    <xdr:ext cx="342786" cy="155113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D9736E5-E453-49E2-A99C-BCDB336A67D8}"/>
            </a:ext>
          </a:extLst>
        </xdr:cNvPr>
        <xdr:cNvSpPr txBox="1"/>
      </xdr:nvSpPr>
      <xdr:spPr>
        <a:xfrm rot="16200000">
          <a:off x="5483303" y="43345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21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F7067FA-EBF5-46D0-9FC7-467DAD9E79CE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25</xdr:col>
      <xdr:colOff>203142</xdr:colOff>
      <xdr:row>20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65EA03B-1080-40DD-A272-A1B512715C7E}"/>
            </a:ext>
          </a:extLst>
        </xdr:cNvPr>
        <xdr:cNvSpPr txBox="1"/>
      </xdr:nvSpPr>
      <xdr:spPr>
        <a:xfrm rot="16200000">
          <a:off x="5685445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21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E402FA1-4943-4E95-8DBF-553B335D59DE}"/>
            </a:ext>
          </a:extLst>
        </xdr:cNvPr>
        <xdr:cNvSpPr txBox="1"/>
      </xdr:nvSpPr>
      <xdr:spPr>
        <a:xfrm rot="16200000">
          <a:off x="5650578" y="4456506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211667</xdr:colOff>
      <xdr:row>21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5F3A09-FABF-41A5-93BA-738707C9EBB2}"/>
            </a:ext>
          </a:extLst>
        </xdr:cNvPr>
        <xdr:cNvSpPr txBox="1"/>
      </xdr:nvSpPr>
      <xdr:spPr>
        <a:xfrm rot="16200000">
          <a:off x="7132245" y="4509422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285067C-BD40-450B-9554-AC1B95364422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24</xdr:col>
      <xdr:colOff>203142</xdr:colOff>
      <xdr:row>19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9DE6C4B-3DE3-438C-ABD9-44591525AB2E}"/>
            </a:ext>
          </a:extLst>
        </xdr:cNvPr>
        <xdr:cNvSpPr txBox="1"/>
      </xdr:nvSpPr>
      <xdr:spPr>
        <a:xfrm rot="16200000">
          <a:off x="8657245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0EE7EA2-D1CD-4BE7-8C9A-55034080657F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420A354-BF34-43CE-8E11-7860170213B0}"/>
            </a:ext>
          </a:extLst>
        </xdr:cNvPr>
        <xdr:cNvSpPr txBox="1"/>
      </xdr:nvSpPr>
      <xdr:spPr>
        <a:xfrm rot="16200000">
          <a:off x="717987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453E353-06B1-4173-BDD9-E43B3E98FFA5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25</xdr:col>
      <xdr:colOff>0</xdr:colOff>
      <xdr:row>19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AD4253A-DC02-4081-B83B-DDAD56E9D2F5}"/>
            </a:ext>
          </a:extLst>
        </xdr:cNvPr>
        <xdr:cNvSpPr txBox="1"/>
      </xdr:nvSpPr>
      <xdr:spPr>
        <a:xfrm rot="16200000">
          <a:off x="8657245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69C93C3-ED78-4878-B9FE-0953827C0426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5A1A64C-7E82-4251-9120-48E04FF61370}"/>
            </a:ext>
          </a:extLst>
        </xdr:cNvPr>
        <xdr:cNvSpPr txBox="1"/>
      </xdr:nvSpPr>
      <xdr:spPr>
        <a:xfrm rot="16200000">
          <a:off x="717987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11DEAE5-8C66-4DB0-9E38-F106EE03C31C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25</xdr:col>
      <xdr:colOff>0</xdr:colOff>
      <xdr:row>19</xdr:row>
      <xdr:rowOff>174425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7C9292A-C864-4CF9-9F92-6BBA81F3DD77}"/>
            </a:ext>
          </a:extLst>
        </xdr:cNvPr>
        <xdr:cNvSpPr txBox="1"/>
      </xdr:nvSpPr>
      <xdr:spPr>
        <a:xfrm rot="16200000">
          <a:off x="8454103" y="435999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8743EBA-03D3-41A3-91D8-E6F01285A627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0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EE123ED-623E-4121-B2DF-39776EC860ED}"/>
            </a:ext>
          </a:extLst>
        </xdr:cNvPr>
        <xdr:cNvSpPr txBox="1"/>
      </xdr:nvSpPr>
      <xdr:spPr>
        <a:xfrm rot="16200000">
          <a:off x="717987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209491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DFECF17-6E70-49E1-8135-DF3DC0509403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13</xdr:col>
      <xdr:colOff>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5CFB9AF-5F71-4C6E-B1ED-D8E8826E85CA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10587</xdr:colOff>
      <xdr:row>16</xdr:row>
      <xdr:rowOff>55931</xdr:rowOff>
    </xdr:from>
    <xdr:ext cx="342786" cy="251876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6EB084F-91FB-4928-B20C-862D282E6250}"/>
            </a:ext>
          </a:extLst>
        </xdr:cNvPr>
        <xdr:cNvSpPr txBox="1"/>
      </xdr:nvSpPr>
      <xdr:spPr>
        <a:xfrm rot="16200000">
          <a:off x="6447347" y="4149588"/>
          <a:ext cx="2518766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VACACIONES</a:t>
          </a:r>
          <a:r>
            <a:rPr lang="es-ES" sz="1600" b="1" baseline="0">
              <a:ln>
                <a:noFill/>
              </a:ln>
              <a:solidFill>
                <a:schemeClr val="tx1"/>
              </a:solidFill>
            </a:rPr>
            <a:t> ESTUDIANTES</a:t>
          </a:r>
          <a:endParaRPr lang="es-ES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829420D-761E-484E-89A4-340F3D2D4165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29</xdr:col>
      <xdr:colOff>0</xdr:colOff>
      <xdr:row>20</xdr:row>
      <xdr:rowOff>36842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B325C15-957B-4589-A525-78DE2B921491}"/>
            </a:ext>
          </a:extLst>
        </xdr:cNvPr>
        <xdr:cNvSpPr txBox="1"/>
      </xdr:nvSpPr>
      <xdr:spPr>
        <a:xfrm rot="16200000">
          <a:off x="9111328" y="4408681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11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C1C117E-5747-493C-9781-B2E6071E4806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17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74EC257-5280-412F-89D0-0F5496C89F34}"/>
            </a:ext>
          </a:extLst>
        </xdr:cNvPr>
        <xdr:cNvSpPr txBox="1"/>
      </xdr:nvSpPr>
      <xdr:spPr>
        <a:xfrm rot="16200000">
          <a:off x="6645412" y="4509422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3</xdr:col>
      <xdr:colOff>201029</xdr:colOff>
      <xdr:row>17</xdr:row>
      <xdr:rowOff>50440</xdr:rowOff>
    </xdr:from>
    <xdr:ext cx="342786" cy="251876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17AB4DC-359A-49D1-A826-A74C010A0B3A}"/>
            </a:ext>
          </a:extLst>
        </xdr:cNvPr>
        <xdr:cNvSpPr txBox="1"/>
      </xdr:nvSpPr>
      <xdr:spPr>
        <a:xfrm rot="16200000">
          <a:off x="2700789" y="4334597"/>
          <a:ext cx="2518766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VACACIONES</a:t>
          </a:r>
          <a:r>
            <a:rPr lang="es-ES" sz="1600" b="1" baseline="0">
              <a:ln>
                <a:noFill/>
              </a:ln>
              <a:solidFill>
                <a:schemeClr val="tx1"/>
              </a:solidFill>
            </a:rPr>
            <a:t> ESTUDIANTES</a:t>
          </a:r>
          <a:endParaRPr lang="es-ES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200025</xdr:colOff>
      <xdr:row>19</xdr:row>
      <xdr:rowOff>136325</xdr:rowOff>
    </xdr:from>
    <xdr:ext cx="342786" cy="155113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E6CC299-2361-4A15-BAC2-8A510678E9EA}"/>
            </a:ext>
          </a:extLst>
        </xdr:cNvPr>
        <xdr:cNvSpPr txBox="1"/>
      </xdr:nvSpPr>
      <xdr:spPr>
        <a:xfrm rot="16200000">
          <a:off x="7850853" y="43176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B8A3634-B1E7-48F0-854E-F5A274260BF9}"/>
            </a:ext>
          </a:extLst>
        </xdr:cNvPr>
        <xdr:cNvSpPr txBox="1"/>
      </xdr:nvSpPr>
      <xdr:spPr>
        <a:xfrm rot="16200000">
          <a:off x="4158269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23</xdr:col>
      <xdr:colOff>211666</xdr:colOff>
      <xdr:row>20</xdr:row>
      <xdr:rowOff>47425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38C17A2-8609-428B-9119-6E2900A45BC6}"/>
            </a:ext>
          </a:extLst>
        </xdr:cNvPr>
        <xdr:cNvSpPr txBox="1"/>
      </xdr:nvSpPr>
      <xdr:spPr>
        <a:xfrm rot="16200000">
          <a:off x="8105911" y="44192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12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A4FA174-2C6B-4258-BE52-82CCF332DA5A}"/>
            </a:ext>
          </a:extLst>
        </xdr:cNvPr>
        <xdr:cNvSpPr txBox="1"/>
      </xdr:nvSpPr>
      <xdr:spPr>
        <a:xfrm rot="16200000">
          <a:off x="56728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18</xdr:col>
      <xdr:colOff>0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DAA9F78-461C-494C-A3CE-43F9527B6681}"/>
            </a:ext>
          </a:extLst>
        </xdr:cNvPr>
        <xdr:cNvSpPr txBox="1"/>
      </xdr:nvSpPr>
      <xdr:spPr>
        <a:xfrm rot="16200000">
          <a:off x="6968203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3562C1-FD8D-4DA8-B241-A3651673DAFA}"/>
            </a:ext>
          </a:extLst>
        </xdr:cNvPr>
        <xdr:cNvSpPr txBox="1"/>
      </xdr:nvSpPr>
      <xdr:spPr>
        <a:xfrm rot="16200000">
          <a:off x="3948778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24</xdr:col>
      <xdr:colOff>201084</xdr:colOff>
      <xdr:row>20</xdr:row>
      <xdr:rowOff>68592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77DC6B4-0A82-4204-812F-E1CDE4B80567}"/>
            </a:ext>
          </a:extLst>
        </xdr:cNvPr>
        <xdr:cNvSpPr txBox="1"/>
      </xdr:nvSpPr>
      <xdr:spPr>
        <a:xfrm rot="16200000">
          <a:off x="8328162" y="4440431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12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8CB6FCB-7F89-4169-9FD3-4F14EE87A29A}"/>
            </a:ext>
          </a:extLst>
        </xdr:cNvPr>
        <xdr:cNvSpPr txBox="1"/>
      </xdr:nvSpPr>
      <xdr:spPr>
        <a:xfrm rot="16200000">
          <a:off x="542515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19</xdr:col>
      <xdr:colOff>0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ACB42B3-7496-4A35-9030-F90C4E6B1798}"/>
            </a:ext>
          </a:extLst>
        </xdr:cNvPr>
        <xdr:cNvSpPr txBox="1"/>
      </xdr:nvSpPr>
      <xdr:spPr>
        <a:xfrm rot="16200000">
          <a:off x="6720553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604C006-C922-4D42-9E74-3C9F6BEA2B1C}"/>
            </a:ext>
          </a:extLst>
        </xdr:cNvPr>
        <xdr:cNvSpPr txBox="1"/>
      </xdr:nvSpPr>
      <xdr:spPr>
        <a:xfrm rot="16200000">
          <a:off x="3929728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21</xdr:col>
      <xdr:colOff>201084</xdr:colOff>
      <xdr:row>20</xdr:row>
      <xdr:rowOff>68592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7114015-0DD3-4C7C-918A-4F486D959ED2}"/>
            </a:ext>
          </a:extLst>
        </xdr:cNvPr>
        <xdr:cNvSpPr txBox="1"/>
      </xdr:nvSpPr>
      <xdr:spPr>
        <a:xfrm rot="16200000">
          <a:off x="8388487" y="44446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10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E13195C-D639-4681-BA40-CF29D5C3DA10}"/>
            </a:ext>
          </a:extLst>
        </xdr:cNvPr>
        <xdr:cNvSpPr txBox="1"/>
      </xdr:nvSpPr>
      <xdr:spPr>
        <a:xfrm rot="16200000">
          <a:off x="54061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15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40BB300-27F5-4DFA-8981-E97DB8B2FBB8}"/>
            </a:ext>
          </a:extLst>
        </xdr:cNvPr>
        <xdr:cNvSpPr txBox="1"/>
      </xdr:nvSpPr>
      <xdr:spPr>
        <a:xfrm rot="16200000">
          <a:off x="6169162" y="4509422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7</xdr:col>
      <xdr:colOff>125946</xdr:colOff>
      <xdr:row>18</xdr:row>
      <xdr:rowOff>123721</xdr:rowOff>
    </xdr:from>
    <xdr:ext cx="342786" cy="2285819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E1FDDD1-96C2-466A-8852-EEB756454E81}"/>
            </a:ext>
          </a:extLst>
        </xdr:cNvPr>
        <xdr:cNvSpPr txBox="1"/>
      </xdr:nvSpPr>
      <xdr:spPr>
        <a:xfrm rot="16200000">
          <a:off x="3768762" y="4481905"/>
          <a:ext cx="2285819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VACIONES</a:t>
          </a:r>
          <a:r>
            <a:rPr lang="es-ES" sz="1600" b="1" baseline="0">
              <a:ln>
                <a:noFill/>
              </a:ln>
              <a:solidFill>
                <a:schemeClr val="tx1"/>
              </a:solidFill>
            </a:rPr>
            <a:t> ESTUDIANTES</a:t>
          </a:r>
          <a:endParaRPr lang="es-ES" sz="1600" b="1">
            <a:ln>
              <a:noFill/>
            </a:ln>
            <a:solidFill>
              <a:schemeClr val="tx1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20</xdr:row>
      <xdr:rowOff>117275</xdr:rowOff>
    </xdr:from>
    <xdr:ext cx="342786" cy="15511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CA4A532-C66B-4852-8F28-BC28123A776C}"/>
            </a:ext>
          </a:extLst>
        </xdr:cNvPr>
        <xdr:cNvSpPr txBox="1"/>
      </xdr:nvSpPr>
      <xdr:spPr>
        <a:xfrm rot="16200000">
          <a:off x="3472528" y="4493347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23</xdr:col>
      <xdr:colOff>201084</xdr:colOff>
      <xdr:row>20</xdr:row>
      <xdr:rowOff>68592</xdr:rowOff>
    </xdr:from>
    <xdr:ext cx="342786" cy="155113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FB1D533-F71A-434D-8EA2-A98D28A927AE}"/>
            </a:ext>
          </a:extLst>
        </xdr:cNvPr>
        <xdr:cNvSpPr txBox="1"/>
      </xdr:nvSpPr>
      <xdr:spPr>
        <a:xfrm rot="16200000">
          <a:off x="7683637" y="4444664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12</xdr:col>
      <xdr:colOff>190500</xdr:colOff>
      <xdr:row>20</xdr:row>
      <xdr:rowOff>84667</xdr:rowOff>
    </xdr:from>
    <xdr:ext cx="342786" cy="155113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099B7BA-B5E9-4AFE-B9F1-1B7D6D08BFA5}"/>
            </a:ext>
          </a:extLst>
        </xdr:cNvPr>
        <xdr:cNvSpPr txBox="1"/>
      </xdr:nvSpPr>
      <xdr:spPr>
        <a:xfrm rot="16200000">
          <a:off x="4948903" y="4460739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  <xdr:oneCellAnchor>
    <xdr:from>
      <xdr:col>17</xdr:col>
      <xdr:colOff>211667</xdr:colOff>
      <xdr:row>20</xdr:row>
      <xdr:rowOff>137583</xdr:rowOff>
    </xdr:from>
    <xdr:ext cx="342786" cy="155113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D8C1A91-AEBA-4661-AA39-1032CA90B2B4}"/>
            </a:ext>
          </a:extLst>
        </xdr:cNvPr>
        <xdr:cNvSpPr txBox="1"/>
      </xdr:nvSpPr>
      <xdr:spPr>
        <a:xfrm rot="16200000">
          <a:off x="6208320" y="4513655"/>
          <a:ext cx="1551130" cy="342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>
              <a:ln>
                <a:noFill/>
              </a:ln>
              <a:solidFill>
                <a:schemeClr val="tx1"/>
              </a:solidFill>
            </a:rPr>
            <a:t>FIN DE SEMANA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ugo Andres Paz Burbano" id="{E5C66B3C-6D16-4BCB-907E-52DB1ED3B94F}" userId="S::01240100237@mail.udes.edu.co::2a34b10b-bc9c-4542-977f-67d6a4168a80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6-01-27T20:01:43.82" personId="{E5C66B3C-6D16-4BCB-907E-52DB1ED3B94F}" id="{B2D6E3EE-7A80-4AF9-B4FF-F7CF179E5B67}">
    <text>Entro hoy a la escuela</text>
  </threadedComment>
  <threadedComment ref="K29" dT="2026-01-27T20:01:43.82" personId="{E5C66B3C-6D16-4BCB-907E-52DB1ED3B94F}" id="{27C78889-7D33-406D-824E-30694121961E}">
    <text>Entro hoy a la escuela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4" dT="2026-02-11T20:19:38.30" personId="{E5C66B3C-6D16-4BCB-907E-52DB1ED3B94F}" id="{5BE895CF-0C8F-4F04-8AE2-EA0DE61C3DDB}">
    <text xml:space="preserve">Se salió de clase antes de tiempo
</text>
  </threadedComment>
  <threadedComment ref="D37" dT="2026-02-02T14:32:14.48" personId="{E5C66B3C-6D16-4BCB-907E-52DB1ED3B94F}" id="{535D4455-37EC-4FC6-A3BA-25D679E6A1CA}">
    <text>Penso que la entrada era a las 8 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0810-57A7-4B98-A765-B168225DF69F}">
  <sheetPr codeName="Hoja1"/>
  <dimension ref="A1:AD40"/>
  <sheetViews>
    <sheetView topLeftCell="A20" zoomScale="86" zoomScaleNormal="86" workbookViewId="0">
      <selection activeCell="A38" sqref="A38:C38"/>
    </sheetView>
  </sheetViews>
  <sheetFormatPr baseColWidth="10" defaultColWidth="5.33203125" defaultRowHeight="14.4" x14ac:dyDescent="0.3"/>
  <cols>
    <col min="1" max="1" width="3.21875" bestFit="1" customWidth="1"/>
    <col min="2" max="2" width="7.109375" style="5" bestFit="1" customWidth="1"/>
    <col min="3" max="3" width="36.109375" style="13" customWidth="1"/>
    <col min="4" max="4" width="3.33203125" customWidth="1"/>
    <col min="5" max="6" width="3.33203125" bestFit="1" customWidth="1"/>
    <col min="7" max="8" width="3.21875" bestFit="1" customWidth="1"/>
    <col min="9" max="9" width="3.88671875" customWidth="1"/>
    <col min="10" max="13" width="3.21875" bestFit="1" customWidth="1"/>
    <col min="14" max="14" width="3.109375" customWidth="1"/>
    <col min="15" max="15" width="3.77734375" customWidth="1"/>
    <col min="16" max="16" width="11.77734375" customWidth="1"/>
    <col min="17" max="17" width="7.33203125" bestFit="1" customWidth="1"/>
    <col min="18" max="18" width="7" bestFit="1" customWidth="1"/>
    <col min="19" max="19" width="10" bestFit="1" customWidth="1"/>
    <col min="20" max="20" width="14.77734375" bestFit="1" customWidth="1"/>
    <col min="21" max="21" width="13.77734375" bestFit="1" customWidth="1"/>
    <col min="27" max="27" width="2.33203125" customWidth="1"/>
    <col min="30" max="30" width="8.44140625" customWidth="1"/>
  </cols>
  <sheetData>
    <row r="1" spans="1:30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spans="1:30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71" t="s">
        <v>15</v>
      </c>
      <c r="AC2" s="71"/>
      <c r="AD2" s="71"/>
    </row>
    <row r="3" spans="1:30" ht="15" customHeight="1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71"/>
      <c r="AC3" s="71"/>
      <c r="AD3" s="71"/>
    </row>
    <row r="4" spans="1:30" ht="14.55" customHeight="1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72" t="s">
        <v>17</v>
      </c>
      <c r="AC4" s="72"/>
      <c r="AD4" s="72"/>
    </row>
    <row r="5" spans="1:30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72"/>
      <c r="AC5" s="72"/>
      <c r="AD5" s="72"/>
    </row>
    <row r="6" spans="1:30" ht="14.55" customHeight="1" x14ac:dyDescent="0.3">
      <c r="A6" s="59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2" t="s">
        <v>16</v>
      </c>
      <c r="AC6" s="72"/>
      <c r="AD6" s="72"/>
    </row>
    <row r="7" spans="1:30" x14ac:dyDescent="0.3">
      <c r="A7" s="59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2"/>
      <c r="AC7" s="72"/>
      <c r="AD7" s="72"/>
    </row>
    <row r="8" spans="1:30" x14ac:dyDescent="0.3">
      <c r="A8" s="59"/>
      <c r="B8" s="65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spans="1:30" x14ac:dyDescent="0.3">
      <c r="A9" s="71" t="s">
        <v>19</v>
      </c>
      <c r="B9" s="71"/>
      <c r="C9" s="63" t="s">
        <v>24</v>
      </c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63"/>
      <c r="U9" s="1" t="s">
        <v>21</v>
      </c>
      <c r="V9" s="67"/>
      <c r="W9" s="68"/>
      <c r="X9" s="68"/>
      <c r="Y9" s="68"/>
      <c r="Z9" s="68"/>
      <c r="AA9" s="68"/>
      <c r="AB9" s="68"/>
      <c r="AC9" s="68"/>
      <c r="AD9" s="68"/>
    </row>
    <row r="10" spans="1:30" x14ac:dyDescent="0.3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75"/>
      <c r="Y10" s="75"/>
      <c r="Z10" s="75"/>
      <c r="AA10" s="75"/>
      <c r="AB10" s="75" t="s">
        <v>22</v>
      </c>
      <c r="AC10" s="75"/>
      <c r="AD10" s="36"/>
    </row>
    <row r="11" spans="1:30" s="3" customFormat="1" x14ac:dyDescent="0.3">
      <c r="A11" s="1" t="s">
        <v>8</v>
      </c>
      <c r="B11" s="2" t="s">
        <v>7</v>
      </c>
      <c r="C11" s="11" t="s">
        <v>0</v>
      </c>
      <c r="D11" s="1">
        <v>19</v>
      </c>
      <c r="E11" s="1">
        <v>20</v>
      </c>
      <c r="F11" s="1">
        <v>21</v>
      </c>
      <c r="G11" s="1">
        <v>22</v>
      </c>
      <c r="H11" s="1">
        <v>23</v>
      </c>
      <c r="I11" s="58"/>
      <c r="J11" s="1">
        <v>26</v>
      </c>
      <c r="K11" s="1">
        <v>27</v>
      </c>
      <c r="L11" s="1">
        <v>28</v>
      </c>
      <c r="M11" s="1">
        <v>29</v>
      </c>
      <c r="N11" s="1">
        <v>30</v>
      </c>
      <c r="O11" s="75"/>
      <c r="P11" s="1" t="s">
        <v>1</v>
      </c>
      <c r="Q11" s="1" t="s">
        <v>2</v>
      </c>
      <c r="R11" s="1" t="s">
        <v>3</v>
      </c>
      <c r="S11" s="1" t="s">
        <v>52</v>
      </c>
      <c r="T11" s="1" t="s">
        <v>4</v>
      </c>
      <c r="U11" s="1" t="s">
        <v>5</v>
      </c>
      <c r="X11" s="58" t="s">
        <v>9</v>
      </c>
      <c r="Y11" s="70"/>
      <c r="Z11" s="70"/>
      <c r="AA11" s="70"/>
      <c r="AB11" s="70"/>
      <c r="AC11" s="70"/>
      <c r="AD11" s="74"/>
    </row>
    <row r="12" spans="1:30" s="3" customFormat="1" ht="18" x14ac:dyDescent="0.3">
      <c r="A12" s="47">
        <v>1</v>
      </c>
      <c r="B12" s="38">
        <v>6</v>
      </c>
      <c r="C12" s="38" t="s">
        <v>55</v>
      </c>
      <c r="D12" s="1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I12" s="59"/>
      <c r="J12" s="1" t="s">
        <v>6</v>
      </c>
      <c r="K12" s="1" t="s">
        <v>6</v>
      </c>
      <c r="L12" s="1" t="s">
        <v>6</v>
      </c>
      <c r="M12" s="1" t="s">
        <v>6</v>
      </c>
      <c r="N12" s="1" t="s">
        <v>6</v>
      </c>
      <c r="O12" s="76"/>
      <c r="P12" s="4">
        <f>COUNTIF(D12:N12, 1) + COUNTIF(D12:N12, "U")+ COUNTIF(D12:N12, "T") + COUNTIF(D12:N12, "J")</f>
        <v>10</v>
      </c>
      <c r="Q12" s="4">
        <f t="shared" ref="Q12" si="0">COUNTIF(D12:N12,0)</f>
        <v>0</v>
      </c>
      <c r="R12" s="4">
        <f t="shared" ref="R12" si="1">COUNTIF(D12:N12,"T")</f>
        <v>0</v>
      </c>
      <c r="S12" s="4">
        <f>COUNTIF(D12:N12,"U")</f>
        <v>0</v>
      </c>
      <c r="T12" s="4">
        <f t="shared" ref="T12" si="2">COUNTIF(D12:N12,"J")</f>
        <v>10</v>
      </c>
      <c r="U12" s="10">
        <f>SUM(P12)/COUNTA($D$11:$N$11)</f>
        <v>1</v>
      </c>
      <c r="X12" s="35"/>
      <c r="Y12" s="8"/>
      <c r="Z12" s="8"/>
      <c r="AA12" s="8"/>
      <c r="AB12" s="8"/>
      <c r="AC12" s="8"/>
      <c r="AD12" s="46"/>
    </row>
    <row r="13" spans="1:30" s="3" customFormat="1" ht="18" x14ac:dyDescent="0.3">
      <c r="A13" s="47">
        <v>2</v>
      </c>
      <c r="B13" s="38">
        <v>6</v>
      </c>
      <c r="C13" s="38" t="s">
        <v>25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59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76"/>
      <c r="P13" s="4">
        <f t="shared" ref="P13:P37" si="3">COUNTIF(D13:N13, 1) + COUNTIF(D13:N13, "U")+ COUNTIF(D13:N13, "T") + COUNTIF(D13:N13, "J")</f>
        <v>10</v>
      </c>
      <c r="Q13" s="4">
        <f t="shared" ref="Q13:Q25" si="4">COUNTIF(D13:N13,0)</f>
        <v>0</v>
      </c>
      <c r="R13" s="4">
        <f t="shared" ref="R13:R25" si="5">COUNTIF(D13:N13,"T")</f>
        <v>0</v>
      </c>
      <c r="S13" s="4">
        <f>COUNTIF(D13:N13,"U")</f>
        <v>0</v>
      </c>
      <c r="T13" s="4">
        <f t="shared" ref="T13:T25" si="6">COUNTIF(D13:N13,"J")</f>
        <v>0</v>
      </c>
      <c r="U13" s="10">
        <f t="shared" ref="U13:U37" si="7">SUM(P13)/COUNTA($D$11:$N$11)</f>
        <v>1</v>
      </c>
      <c r="X13" s="35"/>
      <c r="Y13" s="14">
        <v>1</v>
      </c>
      <c r="Z13" s="3" t="s">
        <v>10</v>
      </c>
      <c r="AA13" s="8"/>
      <c r="AB13" s="8"/>
      <c r="AD13" s="42"/>
    </row>
    <row r="14" spans="1:30" s="3" customFormat="1" ht="18" x14ac:dyDescent="0.3">
      <c r="A14" s="47">
        <v>3</v>
      </c>
      <c r="B14" s="38">
        <v>6</v>
      </c>
      <c r="C14" s="38" t="s">
        <v>53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59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76"/>
      <c r="P14" s="4">
        <f t="shared" si="3"/>
        <v>10</v>
      </c>
      <c r="Q14" s="4">
        <f t="shared" ref="Q14" si="8">COUNTIF(D14:N14,0)</f>
        <v>0</v>
      </c>
      <c r="R14" s="4">
        <f t="shared" ref="R14" si="9">COUNTIF(D14:N14,"T")</f>
        <v>0</v>
      </c>
      <c r="S14" s="4">
        <f>COUNTIF(D14:N14,"U")</f>
        <v>0</v>
      </c>
      <c r="T14" s="4">
        <f t="shared" ref="T14" si="10">COUNTIF(D14:N14,"J")</f>
        <v>0</v>
      </c>
      <c r="U14" s="10">
        <f t="shared" si="7"/>
        <v>1</v>
      </c>
      <c r="X14" s="35"/>
      <c r="Y14" s="15">
        <v>0</v>
      </c>
      <c r="Z14" s="3" t="s">
        <v>14</v>
      </c>
      <c r="AD14" s="42"/>
    </row>
    <row r="15" spans="1:30" s="3" customFormat="1" ht="18" x14ac:dyDescent="0.3">
      <c r="A15" s="47">
        <v>4</v>
      </c>
      <c r="B15" s="38">
        <v>6</v>
      </c>
      <c r="C15" s="38" t="s">
        <v>26</v>
      </c>
      <c r="D15" s="1">
        <v>1</v>
      </c>
      <c r="E15" s="4">
        <v>0</v>
      </c>
      <c r="F15" s="1">
        <v>1</v>
      </c>
      <c r="G15" s="1">
        <v>1</v>
      </c>
      <c r="H15" s="1">
        <v>1</v>
      </c>
      <c r="I15" s="59"/>
      <c r="J15" s="1" t="s">
        <v>50</v>
      </c>
      <c r="K15" s="1">
        <v>1</v>
      </c>
      <c r="L15" s="1">
        <v>1</v>
      </c>
      <c r="M15" s="1">
        <v>1</v>
      </c>
      <c r="N15" s="1">
        <v>1</v>
      </c>
      <c r="O15" s="76"/>
      <c r="P15" s="4">
        <f t="shared" si="3"/>
        <v>9</v>
      </c>
      <c r="Q15" s="4">
        <f t="shared" si="4"/>
        <v>1</v>
      </c>
      <c r="R15" s="4">
        <f t="shared" si="5"/>
        <v>0</v>
      </c>
      <c r="S15" s="4">
        <f t="shared" ref="S15:S40" si="11">COUNTIF(D15:N15,"U")</f>
        <v>1</v>
      </c>
      <c r="T15" s="4">
        <f t="shared" si="6"/>
        <v>0</v>
      </c>
      <c r="U15" s="10">
        <f t="shared" si="7"/>
        <v>0.9</v>
      </c>
      <c r="X15" s="35"/>
      <c r="Y15" s="16" t="s">
        <v>11</v>
      </c>
      <c r="Z15" s="3" t="s">
        <v>12</v>
      </c>
      <c r="AD15" s="42"/>
    </row>
    <row r="16" spans="1:30" s="3" customFormat="1" ht="18" x14ac:dyDescent="0.3">
      <c r="A16" s="47">
        <v>5</v>
      </c>
      <c r="B16" s="38">
        <v>7</v>
      </c>
      <c r="C16" s="38" t="s">
        <v>27</v>
      </c>
      <c r="D16" s="1">
        <v>1</v>
      </c>
      <c r="E16" s="4">
        <v>1</v>
      </c>
      <c r="F16" s="1">
        <v>1</v>
      </c>
      <c r="G16" s="1">
        <v>1</v>
      </c>
      <c r="H16" s="1">
        <v>1</v>
      </c>
      <c r="I16" s="59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76"/>
      <c r="P16" s="4">
        <f t="shared" si="3"/>
        <v>10</v>
      </c>
      <c r="Q16" s="4">
        <f t="shared" si="4"/>
        <v>0</v>
      </c>
      <c r="R16" s="4">
        <f t="shared" si="5"/>
        <v>0</v>
      </c>
      <c r="S16" s="4">
        <f t="shared" si="11"/>
        <v>0</v>
      </c>
      <c r="T16" s="4">
        <f t="shared" si="6"/>
        <v>0</v>
      </c>
      <c r="U16" s="10">
        <f>SUM(P16)/COUNTA($D$11:$N$11)</f>
        <v>1</v>
      </c>
      <c r="X16" s="35"/>
      <c r="Y16" s="41" t="s">
        <v>6</v>
      </c>
      <c r="Z16" s="3" t="s">
        <v>13</v>
      </c>
      <c r="AA16"/>
      <c r="AB16"/>
      <c r="AC16"/>
      <c r="AD16" s="43"/>
    </row>
    <row r="17" spans="1:30" ht="18" x14ac:dyDescent="0.3">
      <c r="A17" s="47">
        <v>6</v>
      </c>
      <c r="B17" s="38">
        <v>7</v>
      </c>
      <c r="C17" s="38" t="s">
        <v>28</v>
      </c>
      <c r="D17" s="1">
        <v>1</v>
      </c>
      <c r="E17" s="4">
        <v>1</v>
      </c>
      <c r="F17" s="1">
        <v>1</v>
      </c>
      <c r="G17" s="1">
        <v>1</v>
      </c>
      <c r="H17" s="1">
        <v>1</v>
      </c>
      <c r="I17" s="59"/>
      <c r="J17" s="4">
        <v>1</v>
      </c>
      <c r="K17" s="1">
        <v>1</v>
      </c>
      <c r="L17" s="1">
        <v>1</v>
      </c>
      <c r="M17" s="1">
        <v>1</v>
      </c>
      <c r="N17" s="1">
        <v>1</v>
      </c>
      <c r="O17" s="76"/>
      <c r="P17" s="4">
        <f t="shared" si="3"/>
        <v>10</v>
      </c>
      <c r="Q17" s="4">
        <f t="shared" si="4"/>
        <v>0</v>
      </c>
      <c r="R17" s="4">
        <f t="shared" si="5"/>
        <v>0</v>
      </c>
      <c r="S17" s="4">
        <f t="shared" si="11"/>
        <v>0</v>
      </c>
      <c r="T17" s="4">
        <f t="shared" si="6"/>
        <v>0</v>
      </c>
      <c r="U17" s="10">
        <f t="shared" si="7"/>
        <v>1</v>
      </c>
      <c r="X17" s="37"/>
      <c r="Y17" s="45" t="s">
        <v>50</v>
      </c>
      <c r="Z17" s="39" t="s">
        <v>51</v>
      </c>
      <c r="AA17" s="40"/>
      <c r="AB17" s="40"/>
      <c r="AC17" s="40"/>
      <c r="AD17" s="44"/>
    </row>
    <row r="18" spans="1:30" ht="18" x14ac:dyDescent="0.3">
      <c r="A18" s="47">
        <v>7</v>
      </c>
      <c r="B18" s="38">
        <v>7</v>
      </c>
      <c r="C18" s="38" t="s">
        <v>29</v>
      </c>
      <c r="D18" s="1">
        <v>1</v>
      </c>
      <c r="E18" s="1">
        <v>1</v>
      </c>
      <c r="F18" s="4" t="s">
        <v>6</v>
      </c>
      <c r="G18" s="1">
        <v>1</v>
      </c>
      <c r="H18" s="1">
        <v>1</v>
      </c>
      <c r="I18" s="59"/>
      <c r="J18" s="4">
        <v>1</v>
      </c>
      <c r="K18" s="1">
        <v>1</v>
      </c>
      <c r="L18" s="1">
        <v>1</v>
      </c>
      <c r="M18" s="1">
        <v>1</v>
      </c>
      <c r="N18" s="1">
        <v>1</v>
      </c>
      <c r="O18" s="76"/>
      <c r="P18" s="4">
        <f t="shared" si="3"/>
        <v>10</v>
      </c>
      <c r="Q18" s="4">
        <f t="shared" si="4"/>
        <v>0</v>
      </c>
      <c r="R18" s="4">
        <f t="shared" si="5"/>
        <v>0</v>
      </c>
      <c r="S18" s="4">
        <f t="shared" si="11"/>
        <v>0</v>
      </c>
      <c r="T18" s="4">
        <f t="shared" si="6"/>
        <v>1</v>
      </c>
      <c r="U18" s="10">
        <f t="shared" si="7"/>
        <v>1</v>
      </c>
    </row>
    <row r="19" spans="1:30" ht="18" x14ac:dyDescent="0.3">
      <c r="A19" s="47">
        <v>8</v>
      </c>
      <c r="B19" s="38">
        <v>7</v>
      </c>
      <c r="C19" s="38" t="s">
        <v>30</v>
      </c>
      <c r="D19" s="1" t="s">
        <v>6</v>
      </c>
      <c r="E19" s="1" t="s">
        <v>6</v>
      </c>
      <c r="F19" s="4" t="s">
        <v>6</v>
      </c>
      <c r="G19" s="1">
        <v>1</v>
      </c>
      <c r="H19" s="1">
        <v>1</v>
      </c>
      <c r="I19" s="59"/>
      <c r="J19" s="4">
        <v>1</v>
      </c>
      <c r="K19" s="1">
        <v>1</v>
      </c>
      <c r="L19" s="1">
        <v>1</v>
      </c>
      <c r="M19" s="1">
        <v>1</v>
      </c>
      <c r="N19" s="1">
        <v>1</v>
      </c>
      <c r="O19" s="76"/>
      <c r="P19" s="4">
        <f t="shared" si="3"/>
        <v>10</v>
      </c>
      <c r="Q19" s="4">
        <f t="shared" si="4"/>
        <v>0</v>
      </c>
      <c r="R19" s="4">
        <f t="shared" si="5"/>
        <v>0</v>
      </c>
      <c r="S19" s="4">
        <f t="shared" si="11"/>
        <v>0</v>
      </c>
      <c r="T19" s="4">
        <f t="shared" si="6"/>
        <v>3</v>
      </c>
      <c r="U19" s="10">
        <f t="shared" si="7"/>
        <v>1</v>
      </c>
    </row>
    <row r="20" spans="1:30" ht="18" x14ac:dyDescent="0.3">
      <c r="A20" s="47">
        <v>9</v>
      </c>
      <c r="B20" s="38">
        <v>7</v>
      </c>
      <c r="C20" s="38" t="s">
        <v>31</v>
      </c>
      <c r="D20" s="1">
        <v>0</v>
      </c>
      <c r="E20" s="1">
        <v>0</v>
      </c>
      <c r="F20" s="4">
        <v>1</v>
      </c>
      <c r="G20" s="1">
        <v>1</v>
      </c>
      <c r="H20" s="1">
        <v>1</v>
      </c>
      <c r="I20" s="59"/>
      <c r="J20" s="4">
        <v>1</v>
      </c>
      <c r="K20" s="1">
        <v>1</v>
      </c>
      <c r="L20" s="1" t="s">
        <v>50</v>
      </c>
      <c r="M20" s="1">
        <v>1</v>
      </c>
      <c r="N20" s="1">
        <v>1</v>
      </c>
      <c r="O20" s="76"/>
      <c r="P20" s="4">
        <f t="shared" si="3"/>
        <v>8</v>
      </c>
      <c r="Q20" s="4">
        <f t="shared" si="4"/>
        <v>2</v>
      </c>
      <c r="R20" s="4">
        <f t="shared" si="5"/>
        <v>0</v>
      </c>
      <c r="S20" s="4">
        <f t="shared" si="11"/>
        <v>1</v>
      </c>
      <c r="T20" s="4">
        <f t="shared" si="6"/>
        <v>0</v>
      </c>
      <c r="U20" s="10">
        <f t="shared" si="7"/>
        <v>0.8</v>
      </c>
      <c r="Z20" s="8"/>
      <c r="AB20" s="3"/>
      <c r="AC20" s="3"/>
    </row>
    <row r="21" spans="1:30" ht="18" x14ac:dyDescent="0.3">
      <c r="A21" s="47">
        <v>10</v>
      </c>
      <c r="B21" s="38">
        <v>7</v>
      </c>
      <c r="C21" s="38" t="s">
        <v>32</v>
      </c>
      <c r="D21" s="1">
        <v>1</v>
      </c>
      <c r="E21" s="1">
        <v>1</v>
      </c>
      <c r="F21" s="4">
        <v>1</v>
      </c>
      <c r="G21" s="1">
        <v>1</v>
      </c>
      <c r="H21" s="1">
        <v>1</v>
      </c>
      <c r="I21" s="59"/>
      <c r="J21" s="4">
        <v>1</v>
      </c>
      <c r="K21" s="1">
        <v>1</v>
      </c>
      <c r="L21" s="1">
        <v>1</v>
      </c>
      <c r="M21" s="1">
        <v>1</v>
      </c>
      <c r="N21" s="1">
        <v>1</v>
      </c>
      <c r="O21" s="76"/>
      <c r="P21" s="4">
        <f t="shared" si="3"/>
        <v>10</v>
      </c>
      <c r="Q21" s="4">
        <f t="shared" si="4"/>
        <v>0</v>
      </c>
      <c r="R21" s="4">
        <f t="shared" si="5"/>
        <v>0</v>
      </c>
      <c r="S21" s="4">
        <f t="shared" si="11"/>
        <v>0</v>
      </c>
      <c r="T21" s="4">
        <f t="shared" si="6"/>
        <v>0</v>
      </c>
      <c r="U21" s="10">
        <f t="shared" si="7"/>
        <v>1</v>
      </c>
      <c r="Z21" s="8"/>
    </row>
    <row r="22" spans="1:30" ht="18" x14ac:dyDescent="0.3">
      <c r="A22" s="47">
        <v>11</v>
      </c>
      <c r="B22" s="38">
        <v>7</v>
      </c>
      <c r="C22" s="38" t="s">
        <v>33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59"/>
      <c r="J22" s="4" t="s">
        <v>50</v>
      </c>
      <c r="K22" s="1">
        <v>1</v>
      </c>
      <c r="L22" s="1">
        <v>1</v>
      </c>
      <c r="M22" s="1">
        <v>1</v>
      </c>
      <c r="N22" s="1">
        <v>1</v>
      </c>
      <c r="O22" s="76"/>
      <c r="P22" s="4">
        <f t="shared" si="3"/>
        <v>10</v>
      </c>
      <c r="Q22" s="4">
        <f t="shared" si="4"/>
        <v>0</v>
      </c>
      <c r="R22" s="4">
        <f t="shared" si="5"/>
        <v>0</v>
      </c>
      <c r="S22" s="4">
        <f t="shared" si="11"/>
        <v>1</v>
      </c>
      <c r="T22" s="4">
        <f t="shared" si="6"/>
        <v>0</v>
      </c>
      <c r="U22" s="10">
        <f t="shared" si="7"/>
        <v>1</v>
      </c>
      <c r="Z22" s="8"/>
      <c r="AA22" s="3"/>
      <c r="AB22" s="3"/>
      <c r="AC22" s="3"/>
    </row>
    <row r="23" spans="1:30" ht="18" x14ac:dyDescent="0.3">
      <c r="A23" s="47">
        <v>12</v>
      </c>
      <c r="B23" s="38">
        <v>8</v>
      </c>
      <c r="C23" s="38" t="s">
        <v>34</v>
      </c>
      <c r="D23" s="1" t="s">
        <v>6</v>
      </c>
      <c r="E23" s="1" t="s">
        <v>6</v>
      </c>
      <c r="F23" s="4" t="s">
        <v>6</v>
      </c>
      <c r="G23" s="1">
        <v>1</v>
      </c>
      <c r="H23" s="1">
        <v>1</v>
      </c>
      <c r="I23" s="59"/>
      <c r="J23" s="4" t="s">
        <v>50</v>
      </c>
      <c r="K23" s="1">
        <v>1</v>
      </c>
      <c r="L23" s="1">
        <v>1</v>
      </c>
      <c r="M23" s="1">
        <v>1</v>
      </c>
      <c r="N23" s="1">
        <v>1</v>
      </c>
      <c r="O23" s="76"/>
      <c r="P23" s="4">
        <f t="shared" si="3"/>
        <v>10</v>
      </c>
      <c r="Q23" s="4">
        <f t="shared" si="4"/>
        <v>0</v>
      </c>
      <c r="R23" s="4">
        <f t="shared" si="5"/>
        <v>0</v>
      </c>
      <c r="S23" s="4">
        <f t="shared" si="11"/>
        <v>1</v>
      </c>
      <c r="T23" s="4">
        <f t="shared" si="6"/>
        <v>3</v>
      </c>
      <c r="U23" s="10">
        <f t="shared" si="7"/>
        <v>1</v>
      </c>
      <c r="Z23" s="7"/>
    </row>
    <row r="24" spans="1:30" ht="18" x14ac:dyDescent="0.3">
      <c r="A24" s="47">
        <v>13</v>
      </c>
      <c r="B24" s="38">
        <v>8</v>
      </c>
      <c r="C24" s="38" t="s">
        <v>35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59"/>
      <c r="J24" s="4">
        <v>1</v>
      </c>
      <c r="K24" s="1">
        <v>1</v>
      </c>
      <c r="L24" s="1" t="s">
        <v>50</v>
      </c>
      <c r="M24" s="1">
        <v>1</v>
      </c>
      <c r="N24" s="1" t="s">
        <v>50</v>
      </c>
      <c r="O24" s="76"/>
      <c r="P24" s="4">
        <f t="shared" si="3"/>
        <v>10</v>
      </c>
      <c r="Q24" s="4">
        <f t="shared" si="4"/>
        <v>0</v>
      </c>
      <c r="R24" s="4">
        <f t="shared" si="5"/>
        <v>0</v>
      </c>
      <c r="S24" s="4">
        <f t="shared" si="11"/>
        <v>2</v>
      </c>
      <c r="T24" s="4">
        <f t="shared" si="6"/>
        <v>0</v>
      </c>
      <c r="U24" s="10">
        <f t="shared" si="7"/>
        <v>1</v>
      </c>
    </row>
    <row r="25" spans="1:30" ht="18" x14ac:dyDescent="0.3">
      <c r="A25" s="47">
        <v>14</v>
      </c>
      <c r="B25" s="38">
        <v>8</v>
      </c>
      <c r="C25" s="38" t="s">
        <v>36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59"/>
      <c r="J25" s="4" t="s">
        <v>50</v>
      </c>
      <c r="K25" s="4" t="s">
        <v>50</v>
      </c>
      <c r="L25" s="4">
        <v>1</v>
      </c>
      <c r="M25" s="4">
        <v>1</v>
      </c>
      <c r="N25" s="1">
        <v>1</v>
      </c>
      <c r="O25" s="76"/>
      <c r="P25" s="4">
        <f t="shared" si="3"/>
        <v>10</v>
      </c>
      <c r="Q25" s="4">
        <f t="shared" si="4"/>
        <v>0</v>
      </c>
      <c r="R25" s="4">
        <f t="shared" si="5"/>
        <v>0</v>
      </c>
      <c r="S25" s="4">
        <f t="shared" si="11"/>
        <v>2</v>
      </c>
      <c r="T25" s="4">
        <f t="shared" si="6"/>
        <v>0</v>
      </c>
      <c r="U25" s="10">
        <f t="shared" si="7"/>
        <v>1</v>
      </c>
    </row>
    <row r="26" spans="1:30" ht="18" x14ac:dyDescent="0.3">
      <c r="A26" s="47">
        <v>15</v>
      </c>
      <c r="B26" s="38">
        <v>9</v>
      </c>
      <c r="C26" s="38" t="s">
        <v>37</v>
      </c>
      <c r="D26" s="4">
        <v>1</v>
      </c>
      <c r="E26" s="4">
        <v>1</v>
      </c>
      <c r="F26" s="1">
        <v>1</v>
      </c>
      <c r="G26" s="1">
        <v>1</v>
      </c>
      <c r="H26" s="4">
        <v>1</v>
      </c>
      <c r="I26" s="59"/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76"/>
      <c r="P26" s="4">
        <f t="shared" si="3"/>
        <v>10</v>
      </c>
      <c r="Q26" s="4">
        <f t="shared" ref="Q26:Q40" si="12">COUNTIF(D26:N26,0)</f>
        <v>0</v>
      </c>
      <c r="R26" s="4">
        <f t="shared" ref="R26:R40" si="13">COUNTIF(D26:N26,"T")</f>
        <v>0</v>
      </c>
      <c r="S26" s="4">
        <f t="shared" si="11"/>
        <v>0</v>
      </c>
      <c r="T26" s="4">
        <f t="shared" ref="T26:T40" si="14">COUNTIF(D26:N26,"J")</f>
        <v>0</v>
      </c>
      <c r="U26" s="10">
        <f t="shared" si="7"/>
        <v>1</v>
      </c>
    </row>
    <row r="27" spans="1:30" ht="18" x14ac:dyDescent="0.3">
      <c r="A27" s="47">
        <v>16</v>
      </c>
      <c r="B27" s="38">
        <v>9</v>
      </c>
      <c r="C27" s="38" t="s">
        <v>38</v>
      </c>
      <c r="D27" s="4">
        <v>1</v>
      </c>
      <c r="E27" s="4">
        <v>1</v>
      </c>
      <c r="F27" s="1">
        <v>1</v>
      </c>
      <c r="G27" s="1">
        <v>1</v>
      </c>
      <c r="H27" s="4" t="s">
        <v>50</v>
      </c>
      <c r="I27" s="59"/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76"/>
      <c r="P27" s="4">
        <f t="shared" si="3"/>
        <v>10</v>
      </c>
      <c r="Q27" s="4">
        <f t="shared" si="12"/>
        <v>0</v>
      </c>
      <c r="R27" s="4">
        <f t="shared" si="13"/>
        <v>0</v>
      </c>
      <c r="S27" s="4">
        <f t="shared" si="11"/>
        <v>1</v>
      </c>
      <c r="T27" s="4">
        <f t="shared" si="14"/>
        <v>0</v>
      </c>
      <c r="U27" s="10">
        <f t="shared" si="7"/>
        <v>1</v>
      </c>
    </row>
    <row r="28" spans="1:30" ht="18" x14ac:dyDescent="0.3">
      <c r="A28" s="47">
        <v>17</v>
      </c>
      <c r="B28" s="38">
        <v>9</v>
      </c>
      <c r="C28" s="38" t="s">
        <v>39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59"/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76"/>
      <c r="P28" s="4">
        <f t="shared" si="3"/>
        <v>10</v>
      </c>
      <c r="Q28" s="4">
        <f t="shared" si="12"/>
        <v>0</v>
      </c>
      <c r="R28" s="4">
        <f t="shared" si="13"/>
        <v>0</v>
      </c>
      <c r="S28" s="4">
        <f t="shared" si="11"/>
        <v>0</v>
      </c>
      <c r="T28" s="4">
        <f t="shared" si="14"/>
        <v>0</v>
      </c>
      <c r="U28" s="10">
        <f t="shared" si="7"/>
        <v>1</v>
      </c>
    </row>
    <row r="29" spans="1:30" ht="18" x14ac:dyDescent="0.3">
      <c r="A29" s="47">
        <v>18</v>
      </c>
      <c r="B29" s="38">
        <v>9</v>
      </c>
      <c r="C29" s="38" t="s">
        <v>54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59"/>
      <c r="J29" s="4">
        <v>1</v>
      </c>
      <c r="K29" s="1">
        <v>1</v>
      </c>
      <c r="L29" s="4">
        <v>1</v>
      </c>
      <c r="M29" s="4">
        <v>1</v>
      </c>
      <c r="N29" s="4">
        <v>1</v>
      </c>
      <c r="O29" s="76"/>
      <c r="P29" s="4">
        <f t="shared" si="3"/>
        <v>10</v>
      </c>
      <c r="Q29" s="4">
        <f t="shared" ref="Q29" si="15">COUNTIF(D29:N29,0)</f>
        <v>0</v>
      </c>
      <c r="R29" s="4">
        <f t="shared" ref="R29" si="16">COUNTIF(D29:N29,"T")</f>
        <v>0</v>
      </c>
      <c r="S29" s="4">
        <f t="shared" ref="S29" si="17">COUNTIF(D29:N29,"U")</f>
        <v>0</v>
      </c>
      <c r="T29" s="4">
        <f t="shared" ref="T29" si="18">COUNTIF(D29:N29,"J")</f>
        <v>0</v>
      </c>
      <c r="U29" s="10">
        <f t="shared" si="7"/>
        <v>1</v>
      </c>
    </row>
    <row r="30" spans="1:30" ht="18" x14ac:dyDescent="0.3">
      <c r="A30" s="47">
        <v>19</v>
      </c>
      <c r="B30" s="38">
        <v>9</v>
      </c>
      <c r="C30" s="38" t="s">
        <v>40</v>
      </c>
      <c r="D30" s="4">
        <v>1</v>
      </c>
      <c r="E30" s="4">
        <v>1</v>
      </c>
      <c r="F30" s="1">
        <v>1</v>
      </c>
      <c r="G30" s="1">
        <v>1</v>
      </c>
      <c r="H30" s="4">
        <v>1</v>
      </c>
      <c r="I30" s="59"/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76"/>
      <c r="P30" s="4">
        <f t="shared" si="3"/>
        <v>10</v>
      </c>
      <c r="Q30" s="4">
        <f t="shared" si="12"/>
        <v>0</v>
      </c>
      <c r="R30" s="4">
        <f t="shared" si="13"/>
        <v>0</v>
      </c>
      <c r="S30" s="4">
        <f t="shared" si="11"/>
        <v>0</v>
      </c>
      <c r="T30" s="4">
        <f t="shared" si="14"/>
        <v>0</v>
      </c>
      <c r="U30" s="10">
        <f t="shared" si="7"/>
        <v>1</v>
      </c>
    </row>
    <row r="31" spans="1:30" ht="18" x14ac:dyDescent="0.3">
      <c r="A31" s="47">
        <v>20</v>
      </c>
      <c r="B31" s="38">
        <v>9</v>
      </c>
      <c r="C31" s="38" t="s">
        <v>41</v>
      </c>
      <c r="D31" s="4">
        <v>1</v>
      </c>
      <c r="E31" s="4">
        <v>1</v>
      </c>
      <c r="F31" s="1">
        <v>1</v>
      </c>
      <c r="G31" s="1">
        <v>1</v>
      </c>
      <c r="H31" s="4">
        <v>1</v>
      </c>
      <c r="I31" s="59"/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76"/>
      <c r="P31" s="4">
        <f t="shared" si="3"/>
        <v>10</v>
      </c>
      <c r="Q31" s="4">
        <f t="shared" si="12"/>
        <v>0</v>
      </c>
      <c r="R31" s="4">
        <f t="shared" si="13"/>
        <v>0</v>
      </c>
      <c r="S31" s="4">
        <f t="shared" si="11"/>
        <v>0</v>
      </c>
      <c r="T31" s="4">
        <f t="shared" si="14"/>
        <v>0</v>
      </c>
      <c r="U31" s="10">
        <f t="shared" si="7"/>
        <v>1</v>
      </c>
    </row>
    <row r="32" spans="1:30" ht="18" x14ac:dyDescent="0.3">
      <c r="A32" s="47">
        <v>21</v>
      </c>
      <c r="B32" s="38">
        <v>9</v>
      </c>
      <c r="C32" s="38" t="s">
        <v>42</v>
      </c>
      <c r="D32" s="4">
        <v>1</v>
      </c>
      <c r="E32" s="4">
        <v>1</v>
      </c>
      <c r="F32" s="1">
        <v>1</v>
      </c>
      <c r="G32" s="1">
        <v>1</v>
      </c>
      <c r="H32" s="4">
        <v>1</v>
      </c>
      <c r="I32" s="59"/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76"/>
      <c r="P32" s="4">
        <f t="shared" si="3"/>
        <v>10</v>
      </c>
      <c r="Q32" s="4">
        <f t="shared" si="12"/>
        <v>0</v>
      </c>
      <c r="R32" s="4">
        <f t="shared" si="13"/>
        <v>0</v>
      </c>
      <c r="S32" s="4">
        <f t="shared" si="11"/>
        <v>0</v>
      </c>
      <c r="T32" s="4">
        <f t="shared" si="14"/>
        <v>0</v>
      </c>
      <c r="U32" s="10">
        <f t="shared" si="7"/>
        <v>1</v>
      </c>
    </row>
    <row r="33" spans="1:21" ht="18" x14ac:dyDescent="0.3">
      <c r="A33" s="47">
        <v>22</v>
      </c>
      <c r="B33" s="38">
        <v>10</v>
      </c>
      <c r="C33" s="38" t="s">
        <v>43</v>
      </c>
      <c r="D33" s="4">
        <v>1</v>
      </c>
      <c r="E33" s="4">
        <v>1</v>
      </c>
      <c r="F33" s="1">
        <v>1</v>
      </c>
      <c r="G33" s="1">
        <v>1</v>
      </c>
      <c r="H33" s="4">
        <v>1</v>
      </c>
      <c r="I33" s="59"/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76"/>
      <c r="P33" s="4">
        <f t="shared" si="3"/>
        <v>10</v>
      </c>
      <c r="Q33" s="4">
        <f t="shared" si="12"/>
        <v>0</v>
      </c>
      <c r="R33" s="4">
        <f t="shared" si="13"/>
        <v>0</v>
      </c>
      <c r="S33" s="4">
        <f t="shared" si="11"/>
        <v>0</v>
      </c>
      <c r="T33" s="4">
        <f t="shared" si="14"/>
        <v>0</v>
      </c>
      <c r="U33" s="10">
        <f t="shared" si="7"/>
        <v>1</v>
      </c>
    </row>
    <row r="34" spans="1:21" ht="18" x14ac:dyDescent="0.3">
      <c r="A34" s="47">
        <v>23</v>
      </c>
      <c r="B34" s="38">
        <v>10</v>
      </c>
      <c r="C34" s="38" t="s">
        <v>44</v>
      </c>
      <c r="D34" s="4">
        <v>1</v>
      </c>
      <c r="E34" s="4">
        <v>1</v>
      </c>
      <c r="F34" s="1">
        <v>1</v>
      </c>
      <c r="G34" s="1">
        <v>1</v>
      </c>
      <c r="H34" s="4">
        <v>1</v>
      </c>
      <c r="I34" s="59"/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76"/>
      <c r="P34" s="4">
        <f t="shared" si="3"/>
        <v>10</v>
      </c>
      <c r="Q34" s="4">
        <f t="shared" si="12"/>
        <v>0</v>
      </c>
      <c r="R34" s="4">
        <f t="shared" si="13"/>
        <v>0</v>
      </c>
      <c r="S34" s="4">
        <f t="shared" si="11"/>
        <v>0</v>
      </c>
      <c r="T34" s="4">
        <f t="shared" si="14"/>
        <v>0</v>
      </c>
      <c r="U34" s="10">
        <f t="shared" si="7"/>
        <v>1</v>
      </c>
    </row>
    <row r="35" spans="1:21" ht="18" x14ac:dyDescent="0.3">
      <c r="A35" s="47">
        <v>24</v>
      </c>
      <c r="B35" s="38">
        <v>10</v>
      </c>
      <c r="C35" s="38" t="s">
        <v>45</v>
      </c>
      <c r="D35" s="4">
        <v>1</v>
      </c>
      <c r="E35" s="4">
        <v>1</v>
      </c>
      <c r="F35" s="1">
        <v>1</v>
      </c>
      <c r="G35" s="1">
        <v>1</v>
      </c>
      <c r="H35" s="4">
        <v>1</v>
      </c>
      <c r="I35" s="59"/>
      <c r="J35" s="4">
        <v>1</v>
      </c>
      <c r="K35" s="4">
        <v>1</v>
      </c>
      <c r="L35" s="4">
        <v>1</v>
      </c>
      <c r="M35" s="4">
        <v>1</v>
      </c>
      <c r="N35" s="4" t="s">
        <v>50</v>
      </c>
      <c r="O35" s="76"/>
      <c r="P35" s="4">
        <f t="shared" si="3"/>
        <v>10</v>
      </c>
      <c r="Q35" s="4">
        <f t="shared" si="12"/>
        <v>0</v>
      </c>
      <c r="R35" s="4">
        <f t="shared" si="13"/>
        <v>0</v>
      </c>
      <c r="S35" s="4">
        <f t="shared" si="11"/>
        <v>1</v>
      </c>
      <c r="T35" s="4">
        <f t="shared" si="14"/>
        <v>0</v>
      </c>
      <c r="U35" s="10">
        <f t="shared" si="7"/>
        <v>1</v>
      </c>
    </row>
    <row r="36" spans="1:21" ht="18" x14ac:dyDescent="0.3">
      <c r="A36" s="47">
        <v>25</v>
      </c>
      <c r="B36" s="38">
        <v>10</v>
      </c>
      <c r="C36" s="38" t="s">
        <v>46</v>
      </c>
      <c r="D36" s="4">
        <v>1</v>
      </c>
      <c r="E36" s="4">
        <v>1</v>
      </c>
      <c r="F36" s="1">
        <v>1</v>
      </c>
      <c r="G36" s="1">
        <v>1</v>
      </c>
      <c r="H36" s="4">
        <v>1</v>
      </c>
      <c r="I36" s="59"/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76"/>
      <c r="P36" s="4">
        <f t="shared" si="3"/>
        <v>10</v>
      </c>
      <c r="Q36" s="4">
        <f t="shared" si="12"/>
        <v>0</v>
      </c>
      <c r="R36" s="4">
        <f t="shared" si="13"/>
        <v>0</v>
      </c>
      <c r="S36" s="4">
        <f t="shared" si="11"/>
        <v>0</v>
      </c>
      <c r="T36" s="4">
        <f t="shared" si="14"/>
        <v>0</v>
      </c>
      <c r="U36" s="10">
        <f t="shared" si="7"/>
        <v>1</v>
      </c>
    </row>
    <row r="37" spans="1:21" ht="18" x14ac:dyDescent="0.3">
      <c r="A37" s="47">
        <v>26</v>
      </c>
      <c r="B37" s="38">
        <v>10</v>
      </c>
      <c r="C37" s="38" t="s">
        <v>47</v>
      </c>
      <c r="D37" s="4">
        <v>0</v>
      </c>
      <c r="E37" s="4">
        <v>0</v>
      </c>
      <c r="F37" s="1">
        <v>1</v>
      </c>
      <c r="G37" s="1">
        <v>1</v>
      </c>
      <c r="H37" s="4" t="s">
        <v>50</v>
      </c>
      <c r="I37" s="59"/>
      <c r="J37" s="4" t="s">
        <v>11</v>
      </c>
      <c r="K37" s="4">
        <v>1</v>
      </c>
      <c r="L37" s="1" t="s">
        <v>50</v>
      </c>
      <c r="M37" s="4">
        <v>1</v>
      </c>
      <c r="N37" s="4">
        <v>1</v>
      </c>
      <c r="O37" s="76"/>
      <c r="P37" s="4">
        <f t="shared" si="3"/>
        <v>7</v>
      </c>
      <c r="Q37" s="4">
        <f t="shared" si="12"/>
        <v>2</v>
      </c>
      <c r="R37" s="4">
        <f t="shared" si="13"/>
        <v>0</v>
      </c>
      <c r="S37" s="4">
        <f t="shared" si="11"/>
        <v>2</v>
      </c>
      <c r="T37" s="4">
        <f t="shared" si="14"/>
        <v>0</v>
      </c>
      <c r="U37" s="10">
        <f t="shared" si="7"/>
        <v>0.7</v>
      </c>
    </row>
    <row r="38" spans="1:21" ht="18" x14ac:dyDescent="0.3">
      <c r="A38" s="47">
        <v>27</v>
      </c>
      <c r="B38" s="38">
        <v>10</v>
      </c>
      <c r="C38" s="38" t="s">
        <v>56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59"/>
      <c r="J38" s="4" t="s">
        <v>6</v>
      </c>
      <c r="K38" s="4" t="s">
        <v>6</v>
      </c>
      <c r="L38" s="4" t="s">
        <v>6</v>
      </c>
      <c r="M38" s="4" t="s">
        <v>6</v>
      </c>
      <c r="N38" s="4" t="s">
        <v>6</v>
      </c>
      <c r="O38" s="76"/>
      <c r="P38" s="4">
        <f t="shared" ref="P38" si="19">COUNTIF(D38:N38, 1) + COUNTIF(D38:N38, "U")+ COUNTIF(D38:N38, "T") + COUNTIF(D38:N38, "J")</f>
        <v>10</v>
      </c>
      <c r="Q38" s="4">
        <f t="shared" ref="Q38" si="20">COUNTIF(D38:N38,0)</f>
        <v>0</v>
      </c>
      <c r="R38" s="4">
        <f t="shared" ref="R38" si="21">COUNTIF(D38:N38,"T")</f>
        <v>0</v>
      </c>
      <c r="S38" s="4">
        <f t="shared" ref="S38" si="22">COUNTIF(D38:N38,"U")</f>
        <v>0</v>
      </c>
      <c r="T38" s="4">
        <f t="shared" ref="T38" si="23">COUNTIF(D38:N38,"J")</f>
        <v>10</v>
      </c>
      <c r="U38" s="10">
        <f t="shared" ref="U38" si="24">SUM(P38)/COUNTA($D$11:$N$11)</f>
        <v>1</v>
      </c>
    </row>
    <row r="39" spans="1:21" ht="18" x14ac:dyDescent="0.3">
      <c r="A39" s="47">
        <v>28</v>
      </c>
      <c r="B39" s="38">
        <v>10</v>
      </c>
      <c r="C39" s="38" t="s">
        <v>48</v>
      </c>
      <c r="D39" s="4">
        <v>1</v>
      </c>
      <c r="E39" s="4">
        <v>1</v>
      </c>
      <c r="F39" s="1">
        <v>1</v>
      </c>
      <c r="G39" s="4" t="s">
        <v>50</v>
      </c>
      <c r="H39" s="4" t="s">
        <v>50</v>
      </c>
      <c r="I39" s="59"/>
      <c r="J39" s="4">
        <v>1</v>
      </c>
      <c r="K39" s="4" t="s">
        <v>50</v>
      </c>
      <c r="L39" s="1">
        <v>1</v>
      </c>
      <c r="M39" s="4">
        <v>1</v>
      </c>
      <c r="N39" s="4" t="s">
        <v>50</v>
      </c>
      <c r="O39" s="76"/>
      <c r="P39" s="4">
        <f t="shared" ref="P39:P40" si="25">COUNTIF(D39:N39, 1) + COUNTIF(D39:N39, "U")+ COUNTIF(D39:N39, "T")</f>
        <v>10</v>
      </c>
      <c r="Q39" s="4">
        <f t="shared" si="12"/>
        <v>0</v>
      </c>
      <c r="R39" s="4">
        <f t="shared" si="13"/>
        <v>0</v>
      </c>
      <c r="S39" s="4">
        <f t="shared" si="11"/>
        <v>4</v>
      </c>
      <c r="T39" s="4">
        <f t="shared" si="14"/>
        <v>0</v>
      </c>
      <c r="U39" s="10">
        <f>SUM(P39)/COUNTA(D37:N37)</f>
        <v>1</v>
      </c>
    </row>
    <row r="40" spans="1:21" ht="18" x14ac:dyDescent="0.3">
      <c r="A40" s="47">
        <v>29</v>
      </c>
      <c r="B40" s="38">
        <v>11</v>
      </c>
      <c r="C40" s="38" t="s">
        <v>49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60"/>
      <c r="J40" s="4">
        <v>1</v>
      </c>
      <c r="K40" s="4">
        <v>1</v>
      </c>
      <c r="L40" s="1" t="s">
        <v>50</v>
      </c>
      <c r="M40" s="4">
        <v>1</v>
      </c>
      <c r="N40" s="4" t="s">
        <v>50</v>
      </c>
      <c r="O40" s="64"/>
      <c r="P40" s="4">
        <f t="shared" si="25"/>
        <v>5</v>
      </c>
      <c r="Q40" s="4">
        <f t="shared" si="12"/>
        <v>0</v>
      </c>
      <c r="R40" s="4">
        <f t="shared" si="13"/>
        <v>0</v>
      </c>
      <c r="S40" s="4">
        <f t="shared" si="11"/>
        <v>2</v>
      </c>
      <c r="T40" s="4">
        <f t="shared" si="14"/>
        <v>5</v>
      </c>
      <c r="U40" s="10">
        <f t="shared" ref="U40" si="26">SUM(P40)/COUNTA(D39:N39)</f>
        <v>0.5</v>
      </c>
    </row>
  </sheetData>
  <mergeCells count="21">
    <mergeCell ref="C1:AD1"/>
    <mergeCell ref="C9:G9"/>
    <mergeCell ref="H9:J9"/>
    <mergeCell ref="K9:T9"/>
    <mergeCell ref="V9:AD9"/>
    <mergeCell ref="X11:AD11"/>
    <mergeCell ref="I11:I40"/>
    <mergeCell ref="O11:O40"/>
    <mergeCell ref="C2:AA6"/>
    <mergeCell ref="AB2:AD3"/>
    <mergeCell ref="AB4:AD5"/>
    <mergeCell ref="AB6:AD7"/>
    <mergeCell ref="C7:AA7"/>
    <mergeCell ref="A8:AD8"/>
    <mergeCell ref="A9:B9"/>
    <mergeCell ref="A10:B10"/>
    <mergeCell ref="C10:J10"/>
    <mergeCell ref="K10:T10"/>
    <mergeCell ref="U10:AA10"/>
    <mergeCell ref="AB10:AC10"/>
    <mergeCell ref="A1:B7"/>
  </mergeCells>
  <conditionalFormatting sqref="C19:C20 C16">
    <cfRule type="colorScale" priority="227">
      <colorScale>
        <cfvo type="min"/>
        <cfvo type="max"/>
        <color rgb="FFFFEF9C"/>
        <color rgb="FF63BE7B"/>
      </colorScale>
    </cfRule>
  </conditionalFormatting>
  <conditionalFormatting sqref="D12:H12">
    <cfRule type="cellIs" dxfId="268" priority="25" stopIfTrue="1" operator="equal">
      <formula>"T"</formula>
    </cfRule>
    <cfRule type="cellIs" dxfId="267" priority="26" operator="equal">
      <formula>"J"</formula>
    </cfRule>
  </conditionalFormatting>
  <conditionalFormatting sqref="D12:H40">
    <cfRule type="cellIs" dxfId="266" priority="24" operator="equal">
      <formula>"U"</formula>
    </cfRule>
  </conditionalFormatting>
  <conditionalFormatting sqref="D13:N25 I11:I12 I26:N37 D26:F40 E28:H29 I39:N40">
    <cfRule type="cellIs" dxfId="265" priority="216" operator="equal">
      <formula>"J"</formula>
    </cfRule>
  </conditionalFormatting>
  <conditionalFormatting sqref="D13:N25 I26:N37 D26:F40 E28:H29 I39:N40 I11:I12">
    <cfRule type="cellIs" dxfId="264" priority="212" stopIfTrue="1" operator="equal">
      <formula>"T"</formula>
    </cfRule>
  </conditionalFormatting>
  <conditionalFormatting sqref="F26:F39">
    <cfRule type="cellIs" dxfId="263" priority="186" operator="equal">
      <formula>"T"</formula>
    </cfRule>
  </conditionalFormatting>
  <conditionalFormatting sqref="G26:G38">
    <cfRule type="cellIs" dxfId="262" priority="180" operator="equal">
      <formula>"T"</formula>
    </cfRule>
  </conditionalFormatting>
  <conditionalFormatting sqref="G19:H19">
    <cfRule type="cellIs" dxfId="261" priority="215" operator="equal">
      <formula>"T, t"</formula>
    </cfRule>
  </conditionalFormatting>
  <conditionalFormatting sqref="G26:H40">
    <cfRule type="cellIs" dxfId="260" priority="184" operator="equal">
      <formula>"J"</formula>
    </cfRule>
    <cfRule type="cellIs" dxfId="259" priority="182" stopIfTrue="1" operator="equal">
      <formula>"T"</formula>
    </cfRule>
  </conditionalFormatting>
  <conditionalFormatting sqref="I11:I12 J13:N25 E15:H25 O11:O12">
    <cfRule type="cellIs" dxfId="258" priority="217" operator="equal">
      <formula>"T"</formula>
    </cfRule>
  </conditionalFormatting>
  <conditionalFormatting sqref="I38:N38">
    <cfRule type="cellIs" dxfId="257" priority="3" operator="equal">
      <formula>"J"</formula>
    </cfRule>
    <cfRule type="cellIs" dxfId="256" priority="2" stopIfTrue="1" operator="equal">
      <formula>"T"</formula>
    </cfRule>
  </conditionalFormatting>
  <conditionalFormatting sqref="J26:J36">
    <cfRule type="cellIs" dxfId="255" priority="173" operator="equal">
      <formula>"J"</formula>
    </cfRule>
    <cfRule type="cellIs" dxfId="254" priority="172" stopIfTrue="1" operator="equal">
      <formula>"T"</formula>
    </cfRule>
    <cfRule type="cellIs" dxfId="253" priority="171" operator="equal">
      <formula>"U"</formula>
    </cfRule>
  </conditionalFormatting>
  <conditionalFormatting sqref="J18:K25">
    <cfRule type="cellIs" dxfId="252" priority="218" stopIfTrue="1" operator="equal">
      <formula>"J"</formula>
    </cfRule>
  </conditionalFormatting>
  <conditionalFormatting sqref="J12:N12">
    <cfRule type="cellIs" dxfId="251" priority="6" operator="equal">
      <formula>"J"</formula>
    </cfRule>
    <cfRule type="cellIs" dxfId="250" priority="5" stopIfTrue="1" operator="equal">
      <formula>"T"</formula>
    </cfRule>
    <cfRule type="cellIs" dxfId="249" priority="4" operator="equal">
      <formula>"U"</formula>
    </cfRule>
  </conditionalFormatting>
  <conditionalFormatting sqref="J13:N37">
    <cfRule type="cellIs" dxfId="248" priority="211" operator="equal">
      <formula>"U"</formula>
    </cfRule>
  </conditionalFormatting>
  <conditionalFormatting sqref="J38:N40">
    <cfRule type="cellIs" dxfId="247" priority="1" operator="equal">
      <formula>"U"</formula>
    </cfRule>
  </conditionalFormatting>
  <conditionalFormatting sqref="K26:K28">
    <cfRule type="cellIs" dxfId="246" priority="37" operator="equal">
      <formula>"T"</formula>
    </cfRule>
  </conditionalFormatting>
  <conditionalFormatting sqref="K26:K32">
    <cfRule type="cellIs" dxfId="245" priority="157" operator="equal">
      <formula>"T"</formula>
    </cfRule>
  </conditionalFormatting>
  <conditionalFormatting sqref="K30:K37">
    <cfRule type="cellIs" dxfId="244" priority="133" operator="equal">
      <formula>"U"</formula>
    </cfRule>
    <cfRule type="cellIs" dxfId="243" priority="134" stopIfTrue="1" operator="equal">
      <formula>"T"</formula>
    </cfRule>
    <cfRule type="cellIs" dxfId="242" priority="135" operator="equal">
      <formula>"J"</formula>
    </cfRule>
  </conditionalFormatting>
  <conditionalFormatting sqref="L26:L36">
    <cfRule type="cellIs" dxfId="241" priority="34" operator="equal">
      <formula>"T"</formula>
    </cfRule>
  </conditionalFormatting>
  <conditionalFormatting sqref="L26:M37 L39:M40">
    <cfRule type="cellIs" dxfId="240" priority="62" operator="equal">
      <formula>"T"</formula>
    </cfRule>
  </conditionalFormatting>
  <conditionalFormatting sqref="N13:N14">
    <cfRule type="cellIs" dxfId="239" priority="214" operator="equal">
      <formula>"J"</formula>
    </cfRule>
  </conditionalFormatting>
  <conditionalFormatting sqref="N26:N34">
    <cfRule type="cellIs" dxfId="238" priority="45" operator="equal">
      <formula>"T"</formula>
    </cfRule>
  </conditionalFormatting>
  <conditionalFormatting sqref="N36:N37">
    <cfRule type="cellIs" dxfId="237" priority="41" operator="equal">
      <formula>"T"</formula>
    </cfRule>
  </conditionalFormatting>
  <dataValidations count="1">
    <dataValidation type="list" allowBlank="1" showInputMessage="1" showErrorMessage="1" sqref="D12:H40 J12:N40" xr:uid="{48FC44EC-F67F-4949-9570-240B44DA36C3}">
      <formula1>$Y$13:$Y$17</formula1>
    </dataValidation>
  </dataValidations>
  <pageMargins left="0.23622047244094491" right="0.23622047244094491" top="0.74803149606299213" bottom="0.19685039370078741" header="0.31496062992125984" footer="0.11811023622047245"/>
  <pageSetup scale="70" orientation="landscape" horizontalDpi="4294967293" r:id="rId1"/>
  <headerFooter>
    <oddFooter>&amp;C&amp;G</oddFooter>
  </headerFooter>
  <drawing r:id="rId2"/>
  <legacy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1EC72544-80C5-4FA1-87EA-F702EFC938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D12:H12</xm:sqref>
        </x14:conditionalFormatting>
        <x14:conditionalFormatting xmlns:xm="http://schemas.microsoft.com/office/excel/2006/main">
          <x14:cfRule type="iconSet" priority="226" id="{013BAF19-96BC-4C11-9B80-9EE9299D44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D41:O66 E15:E17 H17:H40 G39:G40 J17:L25 D26:F40 E28:H29 D38:H38 J26:N40</xm:sqref>
        </x14:conditionalFormatting>
        <x14:conditionalFormatting xmlns:xm="http://schemas.microsoft.com/office/excel/2006/main">
          <x14:cfRule type="iconSet" priority="288" id="{4215B84E-2E73-4247-A6F9-BF4F1A9BBD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E15:H15 E16:E17 I11:I12 F17:H17 E18:H25 H15:H25 J15:L25 N15:N25 J13:N14</xm:sqref>
        </x14:conditionalFormatting>
        <x14:conditionalFormatting xmlns:xm="http://schemas.microsoft.com/office/excel/2006/main">
          <x14:cfRule type="iconSet" priority="210" id="{91818FB3-04C0-43C1-855B-75137AF3CD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F16</xm:sqref>
        </x14:conditionalFormatting>
        <x14:conditionalFormatting xmlns:xm="http://schemas.microsoft.com/office/excel/2006/main">
          <x14:cfRule type="iconSet" priority="207" id="{2EDC747D-0B86-4610-BC05-95FC5CBDDD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F27</xm:sqref>
        </x14:conditionalFormatting>
        <x14:conditionalFormatting xmlns:xm="http://schemas.microsoft.com/office/excel/2006/main">
          <x14:cfRule type="iconSet" priority="205" id="{B4B2C447-3B4C-439A-AFA1-1938445403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F28:F29</xm:sqref>
        </x14:conditionalFormatting>
        <x14:conditionalFormatting xmlns:xm="http://schemas.microsoft.com/office/excel/2006/main">
          <x14:cfRule type="iconSet" priority="203" id="{F0C6E1DB-F4FE-4D96-8818-AF91607209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F30</xm:sqref>
        </x14:conditionalFormatting>
        <x14:conditionalFormatting xmlns:xm="http://schemas.microsoft.com/office/excel/2006/main">
          <x14:cfRule type="iconSet" priority="201" id="{075393AE-CCB2-4592-8CA9-B0A0C032A6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F31</xm:sqref>
        </x14:conditionalFormatting>
        <x14:conditionalFormatting xmlns:xm="http://schemas.microsoft.com/office/excel/2006/main">
          <x14:cfRule type="iconSet" priority="199" id="{0EED6A1C-B94C-4894-8FFD-A2B2835E1D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F32</xm:sqref>
        </x14:conditionalFormatting>
        <x14:conditionalFormatting xmlns:xm="http://schemas.microsoft.com/office/excel/2006/main">
          <x14:cfRule type="iconSet" priority="197" id="{BA894152-7368-4BF3-A82E-8839A14CB7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F33</xm:sqref>
        </x14:conditionalFormatting>
        <x14:conditionalFormatting xmlns:xm="http://schemas.microsoft.com/office/excel/2006/main">
          <x14:cfRule type="iconSet" priority="195" id="{E2B66C84-2029-40C4-BC2B-2C98C6F766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F34</xm:sqref>
        </x14:conditionalFormatting>
        <x14:conditionalFormatting xmlns:xm="http://schemas.microsoft.com/office/excel/2006/main">
          <x14:cfRule type="iconSet" priority="193" id="{A83FB668-76AA-49BF-96C9-9CEBC14994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F35</xm:sqref>
        </x14:conditionalFormatting>
        <x14:conditionalFormatting xmlns:xm="http://schemas.microsoft.com/office/excel/2006/main">
          <x14:cfRule type="iconSet" priority="191" id="{B28B57C5-7925-44B9-9DCB-A1D516A354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F36</xm:sqref>
        </x14:conditionalFormatting>
        <x14:conditionalFormatting xmlns:xm="http://schemas.microsoft.com/office/excel/2006/main">
          <x14:cfRule type="iconSet" priority="189" id="{8799E7C0-4A69-47BC-A868-8954F18AD9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F37:F38</xm:sqref>
        </x14:conditionalFormatting>
        <x14:conditionalFormatting xmlns:xm="http://schemas.microsoft.com/office/excel/2006/main">
          <x14:cfRule type="iconSet" priority="187" id="{DEABAA2F-D4C8-4065-9FC3-7F4621A8CB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F39</xm:sqref>
        </x14:conditionalFormatting>
        <x14:conditionalFormatting xmlns:xm="http://schemas.microsoft.com/office/excel/2006/main">
          <x14:cfRule type="iconSet" priority="209" id="{A8F72DCE-536F-4B31-B806-993F66E1DC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F26:G26 G27:G38</xm:sqref>
        </x14:conditionalFormatting>
        <x14:conditionalFormatting xmlns:xm="http://schemas.microsoft.com/office/excel/2006/main">
          <x14:cfRule type="iconSet" priority="183" id="{C13D9BBA-D6D0-4D06-9DBE-D5291CEEF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5" id="{EBD59578-CB2D-4BAA-A956-C039B47DEC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G26:G38</xm:sqref>
        </x14:conditionalFormatting>
        <x14:conditionalFormatting xmlns:xm="http://schemas.microsoft.com/office/excel/2006/main">
          <x14:cfRule type="iconSet" priority="338" id="{6FFF7ACA-AEF4-4007-9A1B-F921F804F1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I11:I12 D13:N25 H26:N37 D26:F40 E28:H29 G39:N40 D38:N38</xm:sqref>
        </x14:conditionalFormatting>
        <x14:conditionalFormatting xmlns:xm="http://schemas.microsoft.com/office/excel/2006/main">
          <x14:cfRule type="iconSet" priority="23" id="{10F0F233-9640-4203-89BF-5197C0A452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</xm:sqref>
        </x14:conditionalFormatting>
        <x14:conditionalFormatting xmlns:xm="http://schemas.microsoft.com/office/excel/2006/main">
          <x14:cfRule type="iconSet" priority="19" id="{673732FF-488F-4659-93FF-7A8B459256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K12</xm:sqref>
        </x14:conditionalFormatting>
        <x14:conditionalFormatting xmlns:xm="http://schemas.microsoft.com/office/excel/2006/main">
          <x14:cfRule type="iconSet" priority="36" id="{59DD4381-55CA-4F04-9CB6-CBAA82B96F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" id="{DE8761F9-D354-40DE-910A-FAF217899C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K26:K28</xm:sqref>
        </x14:conditionalFormatting>
        <x14:conditionalFormatting xmlns:xm="http://schemas.microsoft.com/office/excel/2006/main">
          <x14:cfRule type="iconSet" priority="166" id="{9705C1C8-25D8-44CA-8A8A-8FE3AC7BF4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K27</xm:sqref>
        </x14:conditionalFormatting>
        <x14:conditionalFormatting xmlns:xm="http://schemas.microsoft.com/office/excel/2006/main">
          <x14:cfRule type="iconSet" priority="164" id="{F79D5FEF-0718-4AAD-B61D-AD0FCF4908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K28</xm:sqref>
        </x14:conditionalFormatting>
        <x14:conditionalFormatting xmlns:xm="http://schemas.microsoft.com/office/excel/2006/main">
          <x14:cfRule type="iconSet" priority="170" id="{9541D2B9-3C08-4957-8E98-99CBA76346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K29</xm:sqref>
        </x14:conditionalFormatting>
        <x14:conditionalFormatting xmlns:xm="http://schemas.microsoft.com/office/excel/2006/main">
          <x14:cfRule type="iconSet" priority="162" id="{D742C6C0-CD5E-4B87-A65C-7D29827C1E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K30</xm:sqref>
        </x14:conditionalFormatting>
        <x14:conditionalFormatting xmlns:xm="http://schemas.microsoft.com/office/excel/2006/main">
          <x14:cfRule type="iconSet" priority="160" id="{8AC18AD3-658A-445C-8D4C-346CCD3F9A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K31</xm:sqref>
        </x14:conditionalFormatting>
        <x14:conditionalFormatting xmlns:xm="http://schemas.microsoft.com/office/excel/2006/main">
          <x14:cfRule type="iconSet" priority="158" id="{236C8CA0-6563-4449-98A6-A3C74B2AF3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168" id="{9860C164-0CE4-4848-BACA-2FD010CFB8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K26:L26</xm:sqref>
        </x14:conditionalFormatting>
        <x14:conditionalFormatting xmlns:xm="http://schemas.microsoft.com/office/excel/2006/main">
          <x14:cfRule type="iconSet" priority="15" id="{78D24E10-085B-4E53-AD01-394D6A6E4C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L12</xm:sqref>
        </x14:conditionalFormatting>
        <x14:conditionalFormatting xmlns:xm="http://schemas.microsoft.com/office/excel/2006/main">
          <x14:cfRule type="iconSet" priority="38" id="{C4CC5083-577E-46AE-94EB-8748722407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9" id="{13CC036B-58A3-4E60-AAD9-DA36C39DE5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L26:L28</xm:sqref>
        </x14:conditionalFormatting>
        <x14:conditionalFormatting xmlns:xm="http://schemas.microsoft.com/office/excel/2006/main">
          <x14:cfRule type="iconSet" priority="131" id="{B8745DC5-1E5F-499A-915B-4DE3EA88AB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L27</xm:sqref>
        </x14:conditionalFormatting>
        <x14:conditionalFormatting xmlns:xm="http://schemas.microsoft.com/office/excel/2006/main">
          <x14:cfRule type="iconSet" priority="129" id="{C6FAE821-E15C-47B4-8C1C-3E48433E58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L28</xm:sqref>
        </x14:conditionalFormatting>
        <x14:conditionalFormatting xmlns:xm="http://schemas.microsoft.com/office/excel/2006/main">
          <x14:cfRule type="iconSet" priority="32" id="{4ABAEEB9-2B4C-4CDA-8F1B-58658F7879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3" id="{6F414464-8E5F-4C3C-B6CC-92C7430148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7" id="{FCABE659-371A-4ACF-8678-1D80318B43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L29:L36</xm:sqref>
        </x14:conditionalFormatting>
        <x14:conditionalFormatting xmlns:xm="http://schemas.microsoft.com/office/excel/2006/main">
          <x14:cfRule type="iconSet" priority="125" id="{7162F94D-837C-4D67-9034-B7A6496417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L30</xm:sqref>
        </x14:conditionalFormatting>
        <x14:conditionalFormatting xmlns:xm="http://schemas.microsoft.com/office/excel/2006/main">
          <x14:cfRule type="iconSet" priority="123" id="{0E23D32E-8355-4323-95BB-49E5ECDB5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L31</xm:sqref>
        </x14:conditionalFormatting>
        <x14:conditionalFormatting xmlns:xm="http://schemas.microsoft.com/office/excel/2006/main">
          <x14:cfRule type="iconSet" priority="121" id="{845CC4D6-E626-40BC-9A67-D85E44B92B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119" id="{965D744C-17DA-4DE0-85D4-AB8DD192F1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L33</xm:sqref>
        </x14:conditionalFormatting>
        <x14:conditionalFormatting xmlns:xm="http://schemas.microsoft.com/office/excel/2006/main">
          <x14:cfRule type="iconSet" priority="117" id="{66BD23DB-2403-4679-BB91-457001054C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115" id="{293A67AC-E78E-4169-B74E-BEBF4DF74C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113" id="{CBB1A530-D4DB-46EC-AD1F-C225A0D0D6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L36</xm:sqref>
        </x14:conditionalFormatting>
        <x14:conditionalFormatting xmlns:xm="http://schemas.microsoft.com/office/excel/2006/main">
          <x14:cfRule type="iconSet" priority="111" id="{7B6396CB-ED62-44B7-A1D9-CFE422D7F8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L37</xm:sqref>
        </x14:conditionalFormatting>
        <x14:conditionalFormatting xmlns:xm="http://schemas.microsoft.com/office/excel/2006/main">
          <x14:cfRule type="iconSet" priority="109" id="{76EF9266-CC7F-494B-B491-57C93AC2A9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L39</xm:sqref>
        </x14:conditionalFormatting>
        <x14:conditionalFormatting xmlns:xm="http://schemas.microsoft.com/office/excel/2006/main">
          <x14:cfRule type="iconSet" priority="107" id="{9C8FC799-FFD0-44E1-952D-8F4C22D31C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L40</xm:sqref>
        </x14:conditionalFormatting>
        <x14:conditionalFormatting xmlns:xm="http://schemas.microsoft.com/office/excel/2006/main">
          <x14:cfRule type="iconSet" priority="11" id="{82E4CCFD-744B-4F60-AE7E-8473CDAC91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M12</xm:sqref>
        </x14:conditionalFormatting>
        <x14:conditionalFormatting xmlns:xm="http://schemas.microsoft.com/office/excel/2006/main">
          <x14:cfRule type="iconSet" priority="103" id="{9B010AC7-9131-4DBE-8AD6-B995E7CF2A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M15</xm:sqref>
        </x14:conditionalFormatting>
        <x14:conditionalFormatting xmlns:xm="http://schemas.microsoft.com/office/excel/2006/main">
          <x14:cfRule type="iconSet" priority="102" id="{15631836-CEF6-49E4-A6AD-043D0D6784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M16</xm:sqref>
        </x14:conditionalFormatting>
        <x14:conditionalFormatting xmlns:xm="http://schemas.microsoft.com/office/excel/2006/main">
          <x14:cfRule type="iconSet" priority="101" id="{201CAF53-155E-4086-A66D-926E7D69F8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M17</xm:sqref>
        </x14:conditionalFormatting>
        <x14:conditionalFormatting xmlns:xm="http://schemas.microsoft.com/office/excel/2006/main">
          <x14:cfRule type="iconSet" priority="100" id="{874E5B2B-2B76-4254-8FA9-92D0F849D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M18</xm:sqref>
        </x14:conditionalFormatting>
        <x14:conditionalFormatting xmlns:xm="http://schemas.microsoft.com/office/excel/2006/main">
          <x14:cfRule type="iconSet" priority="99" id="{6BE2EB47-DF17-462A-9747-B267FA26BF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M19</xm:sqref>
        </x14:conditionalFormatting>
        <x14:conditionalFormatting xmlns:xm="http://schemas.microsoft.com/office/excel/2006/main">
          <x14:cfRule type="iconSet" priority="98" id="{5A1B1512-68D7-4346-B155-44DA35AC71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M20</xm:sqref>
        </x14:conditionalFormatting>
        <x14:conditionalFormatting xmlns:xm="http://schemas.microsoft.com/office/excel/2006/main">
          <x14:cfRule type="iconSet" priority="97" id="{CC883599-4366-44C1-9A61-05D3CC0289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M21</xm:sqref>
        </x14:conditionalFormatting>
        <x14:conditionalFormatting xmlns:xm="http://schemas.microsoft.com/office/excel/2006/main">
          <x14:cfRule type="iconSet" priority="96" id="{928A8B9E-44DC-4F9A-AF67-15A6212695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M22</xm:sqref>
        </x14:conditionalFormatting>
        <x14:conditionalFormatting xmlns:xm="http://schemas.microsoft.com/office/excel/2006/main">
          <x14:cfRule type="iconSet" priority="95" id="{D182F11C-5C38-4113-B245-D0C81617A5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M23</xm:sqref>
        </x14:conditionalFormatting>
        <x14:conditionalFormatting xmlns:xm="http://schemas.microsoft.com/office/excel/2006/main">
          <x14:cfRule type="iconSet" priority="94" id="{113D1CB7-5B02-4778-AFBD-E648DBF62D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M24</xm:sqref>
        </x14:conditionalFormatting>
        <x14:conditionalFormatting xmlns:xm="http://schemas.microsoft.com/office/excel/2006/main">
          <x14:cfRule type="iconSet" priority="93" id="{DF6637A4-4FF1-4D69-AF9C-E025552341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2" id="{3AFFE298-F61F-4E66-87A8-C40D27CEA3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M25</xm:sqref>
        </x14:conditionalFormatting>
        <x14:conditionalFormatting xmlns:xm="http://schemas.microsoft.com/office/excel/2006/main">
          <x14:cfRule type="iconSet" priority="89" id="{B0E37741-1145-4E04-8F0F-3323996BBB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M27</xm:sqref>
        </x14:conditionalFormatting>
        <x14:conditionalFormatting xmlns:xm="http://schemas.microsoft.com/office/excel/2006/main">
          <x14:cfRule type="iconSet" priority="87" id="{CF96DE4F-0512-466F-98EC-F5EC37C90E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M28</xm:sqref>
        </x14:conditionalFormatting>
        <x14:conditionalFormatting xmlns:xm="http://schemas.microsoft.com/office/excel/2006/main">
          <x14:cfRule type="iconSet" priority="85" id="{1675DD3C-D224-4F31-9201-04A646E36F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M29</xm:sqref>
        </x14:conditionalFormatting>
        <x14:conditionalFormatting xmlns:xm="http://schemas.microsoft.com/office/excel/2006/main">
          <x14:cfRule type="iconSet" priority="81" id="{8D5600DD-86DC-4E13-B27B-772BAADAD6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M30</xm:sqref>
        </x14:conditionalFormatting>
        <x14:conditionalFormatting xmlns:xm="http://schemas.microsoft.com/office/excel/2006/main">
          <x14:cfRule type="iconSet" priority="83" id="{0C3E3191-85B9-4312-BE61-D12A77F946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M31</xm:sqref>
        </x14:conditionalFormatting>
        <x14:conditionalFormatting xmlns:xm="http://schemas.microsoft.com/office/excel/2006/main">
          <x14:cfRule type="iconSet" priority="79" id="{AE248B49-BEB0-4ED4-8C27-536C6A9753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M32</xm:sqref>
        </x14:conditionalFormatting>
        <x14:conditionalFormatting xmlns:xm="http://schemas.microsoft.com/office/excel/2006/main">
          <x14:cfRule type="iconSet" priority="77" id="{547A8C46-DA80-460E-9F4B-37FA3FCD27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M33</xm:sqref>
        </x14:conditionalFormatting>
        <x14:conditionalFormatting xmlns:xm="http://schemas.microsoft.com/office/excel/2006/main">
          <x14:cfRule type="iconSet" priority="75" id="{23DD5255-4ECF-4137-8A8A-DEFE46AA7C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M34</xm:sqref>
        </x14:conditionalFormatting>
        <x14:conditionalFormatting xmlns:xm="http://schemas.microsoft.com/office/excel/2006/main">
          <x14:cfRule type="iconSet" priority="73" id="{3F24EF3B-DEF0-460E-A8D8-697C43C4B0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M35</xm:sqref>
        </x14:conditionalFormatting>
        <x14:conditionalFormatting xmlns:xm="http://schemas.microsoft.com/office/excel/2006/main">
          <x14:cfRule type="iconSet" priority="71" id="{77AFB0C7-1506-432B-BF95-D3F7D1C656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M36</xm:sqref>
        </x14:conditionalFormatting>
        <x14:conditionalFormatting xmlns:xm="http://schemas.microsoft.com/office/excel/2006/main">
          <x14:cfRule type="iconSet" priority="69" id="{53A6CEBF-7662-44BB-B721-191D9D8253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M37</xm:sqref>
        </x14:conditionalFormatting>
        <x14:conditionalFormatting xmlns:xm="http://schemas.microsoft.com/office/excel/2006/main">
          <x14:cfRule type="iconSet" priority="67" id="{BDCA945A-4576-4A0F-9CBD-18BBDB75B7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M39</xm:sqref>
        </x14:conditionalFormatting>
        <x14:conditionalFormatting xmlns:xm="http://schemas.microsoft.com/office/excel/2006/main">
          <x14:cfRule type="iconSet" priority="65" id="{25C67DBF-3A50-40E3-BDF6-64CE131E8B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M40</xm:sqref>
        </x14:conditionalFormatting>
        <x14:conditionalFormatting xmlns:xm="http://schemas.microsoft.com/office/excel/2006/main">
          <x14:cfRule type="iconSet" priority="91" id="{99E18CD0-917D-48B6-A6F4-D939D61360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M26:N26</xm:sqref>
        </x14:conditionalFormatting>
        <x14:conditionalFormatting xmlns:xm="http://schemas.microsoft.com/office/excel/2006/main">
          <x14:cfRule type="iconSet" priority="7" id="{7B4FD6A9-7A39-4F3A-B3EA-83B2B7EC8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N12</xm:sqref>
        </x14:conditionalFormatting>
        <x14:conditionalFormatting xmlns:xm="http://schemas.microsoft.com/office/excel/2006/main">
          <x14:cfRule type="iconSet" priority="60" id="{C08D1A88-3FA0-44BE-9948-F5B28A7F45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N27</xm:sqref>
        </x14:conditionalFormatting>
        <x14:conditionalFormatting xmlns:xm="http://schemas.microsoft.com/office/excel/2006/main">
          <x14:cfRule type="iconSet" priority="58" id="{32B8ADD6-4995-42DD-8E04-7169DF82CA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N28</xm:sqref>
        </x14:conditionalFormatting>
        <x14:conditionalFormatting xmlns:xm="http://schemas.microsoft.com/office/excel/2006/main">
          <x14:cfRule type="iconSet" priority="56" id="{AC64298D-A4D0-4237-892C-B789932470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N29</xm:sqref>
        </x14:conditionalFormatting>
        <x14:conditionalFormatting xmlns:xm="http://schemas.microsoft.com/office/excel/2006/main">
          <x14:cfRule type="iconSet" priority="54" id="{EB8C7071-1E9F-4DC9-8F80-B7EC54AA4B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N30</xm:sqref>
        </x14:conditionalFormatting>
        <x14:conditionalFormatting xmlns:xm="http://schemas.microsoft.com/office/excel/2006/main">
          <x14:cfRule type="iconSet" priority="52" id="{96E10CCE-9104-4361-9989-B9CDBA4D3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N31</xm:sqref>
        </x14:conditionalFormatting>
        <x14:conditionalFormatting xmlns:xm="http://schemas.microsoft.com/office/excel/2006/main">
          <x14:cfRule type="iconSet" priority="50" id="{332274E9-46A8-431B-AFDE-EBC069D351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N32</xm:sqref>
        </x14:conditionalFormatting>
        <x14:conditionalFormatting xmlns:xm="http://schemas.microsoft.com/office/excel/2006/main">
          <x14:cfRule type="iconSet" priority="48" id="{E8FE3662-CDE9-4E62-80C5-F4CABA9207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N33</xm:sqref>
        </x14:conditionalFormatting>
        <x14:conditionalFormatting xmlns:xm="http://schemas.microsoft.com/office/excel/2006/main">
          <x14:cfRule type="iconSet" priority="46" id="{C5FDE6F0-9EFE-4B01-92BF-2F90D402E8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N34</xm:sqref>
        </x14:conditionalFormatting>
        <x14:conditionalFormatting xmlns:xm="http://schemas.microsoft.com/office/excel/2006/main">
          <x14:cfRule type="iconSet" priority="44" id="{1320E40B-9B31-46CE-9A17-865B98E3C3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N36</xm:sqref>
        </x14:conditionalFormatting>
        <x14:conditionalFormatting xmlns:xm="http://schemas.microsoft.com/office/excel/2006/main">
          <x14:cfRule type="iconSet" priority="42" id="{86F74654-200E-45E5-8003-86F4E8A210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9217-C963-419A-8C6A-F28B9C97AE9E}">
  <sheetPr codeName="Hoja2"/>
  <dimension ref="A1:AQ1048576"/>
  <sheetViews>
    <sheetView topLeftCell="A35" zoomScale="92" zoomScaleNormal="92" workbookViewId="0">
      <selection activeCell="AB13" sqref="AB13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30" style="13" bestFit="1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5" width="3.21875" customWidth="1"/>
    <col min="26" max="26" width="3.109375" customWidth="1"/>
    <col min="27" max="27" width="3.77734375" customWidth="1"/>
    <col min="28" max="28" width="11.77734375" customWidth="1"/>
    <col min="29" max="29" width="7.33203125" bestFit="1" customWidth="1"/>
    <col min="30" max="30" width="7" bestFit="1" customWidth="1"/>
    <col min="31" max="31" width="10.5546875" bestFit="1" customWidth="1"/>
    <col min="32" max="32" width="14.77734375" bestFit="1" customWidth="1"/>
    <col min="33" max="33" width="13.77734375" bestFit="1" customWidth="1"/>
  </cols>
  <sheetData>
    <row r="1" spans="1:43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5"/>
      <c r="AE1" s="65"/>
      <c r="AF1" s="65"/>
      <c r="AG1" s="66"/>
    </row>
    <row r="2" spans="1:43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65"/>
      <c r="AE2" s="65"/>
      <c r="AF2" s="65"/>
      <c r="AG2" s="66"/>
    </row>
    <row r="3" spans="1:43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65"/>
      <c r="AE3" s="65"/>
      <c r="AF3" s="65"/>
      <c r="AG3" s="66"/>
    </row>
    <row r="4" spans="1:43" ht="14.55" customHeight="1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65"/>
      <c r="AE4" s="65"/>
      <c r="AF4" s="65"/>
      <c r="AG4" s="66"/>
    </row>
    <row r="5" spans="1:43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65"/>
      <c r="AE5" s="65"/>
      <c r="AF5" s="65"/>
      <c r="AG5" s="66"/>
    </row>
    <row r="6" spans="1:43" ht="14.55" customHeight="1" x14ac:dyDescent="0.3">
      <c r="A6" s="59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65"/>
      <c r="AE6" s="65"/>
      <c r="AF6" s="65"/>
      <c r="AG6" s="66"/>
    </row>
    <row r="7" spans="1:43" x14ac:dyDescent="0.3">
      <c r="A7" s="59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65"/>
      <c r="AE7" s="65"/>
      <c r="AF7" s="65"/>
      <c r="AG7" s="66"/>
    </row>
    <row r="8" spans="1:43" x14ac:dyDescent="0.3">
      <c r="A8" s="59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6"/>
    </row>
    <row r="9" spans="1:43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7"/>
      <c r="Z9" s="68"/>
      <c r="AA9" s="68"/>
      <c r="AB9" s="68"/>
      <c r="AC9" s="68"/>
      <c r="AD9" s="68"/>
      <c r="AE9" s="68"/>
      <c r="AF9" s="68"/>
      <c r="AG9" s="69"/>
    </row>
    <row r="10" spans="1:43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4"/>
      <c r="Z10" s="64"/>
      <c r="AA10" s="64" t="s">
        <v>22</v>
      </c>
      <c r="AB10" s="64"/>
      <c r="AC10" s="67"/>
      <c r="AD10" s="68"/>
      <c r="AE10" s="68"/>
      <c r="AF10" s="68"/>
      <c r="AG10" s="69"/>
    </row>
    <row r="11" spans="1:43" s="3" customFormat="1" x14ac:dyDescent="0.3">
      <c r="A11" s="1" t="s">
        <v>8</v>
      </c>
      <c r="B11" s="2" t="s">
        <v>7</v>
      </c>
      <c r="C11" s="11" t="s">
        <v>0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58"/>
      <c r="J11" s="1">
        <v>9</v>
      </c>
      <c r="K11" s="1">
        <v>10</v>
      </c>
      <c r="L11" s="1">
        <v>11</v>
      </c>
      <c r="M11" s="1">
        <v>12</v>
      </c>
      <c r="N11" s="1">
        <v>13</v>
      </c>
      <c r="O11" s="58"/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58"/>
      <c r="V11" s="1">
        <v>23</v>
      </c>
      <c r="W11" s="1">
        <v>24</v>
      </c>
      <c r="X11" s="1">
        <v>25</v>
      </c>
      <c r="Y11" s="1">
        <v>26</v>
      </c>
      <c r="Z11" s="1">
        <v>27</v>
      </c>
      <c r="AA11" s="58"/>
      <c r="AB11" s="1" t="s">
        <v>1</v>
      </c>
      <c r="AC11" s="1" t="s">
        <v>2</v>
      </c>
      <c r="AD11" s="1" t="s">
        <v>3</v>
      </c>
      <c r="AE11" s="1" t="s">
        <v>52</v>
      </c>
      <c r="AF11" s="1" t="s">
        <v>4</v>
      </c>
      <c r="AG11" s="1" t="s">
        <v>5</v>
      </c>
      <c r="AJ11" s="55" t="s">
        <v>9</v>
      </c>
      <c r="AK11" s="56"/>
      <c r="AL11" s="56"/>
      <c r="AM11" s="56"/>
      <c r="AN11" s="56"/>
      <c r="AO11" s="56"/>
      <c r="AP11" s="56"/>
      <c r="AQ11" s="57"/>
    </row>
    <row r="12" spans="1:43" s="3" customFormat="1" x14ac:dyDescent="0.3">
      <c r="A12" s="51">
        <v>1</v>
      </c>
      <c r="B12" s="9">
        <v>6</v>
      </c>
      <c r="C12" s="12" t="s">
        <v>55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59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59"/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59"/>
      <c r="V12" s="1"/>
      <c r="W12" s="1"/>
      <c r="X12" s="1"/>
      <c r="Y12" s="1"/>
      <c r="Z12" s="1"/>
      <c r="AA12" s="59"/>
      <c r="AB12" s="4" cm="1">
        <f t="array" ref="AB12">COUNTIF(D12:Z12,1)+COUNTIF(D12:Z12,U)+COUNTIF(D12:Z12,_xleta.T)+COUNTIF(D12:Z12,J)</f>
        <v>15</v>
      </c>
      <c r="AC12" s="4">
        <f>COUNTIF(D12:Z12,0)</f>
        <v>0</v>
      </c>
      <c r="AD12" s="4">
        <f>COUNTIF(D12:Z12,"T")</f>
        <v>0</v>
      </c>
      <c r="AE12" s="4">
        <f>COUNTIF(D12:Z12,"U")</f>
        <v>0</v>
      </c>
      <c r="AF12" s="4">
        <f>COUNTIF(D12:Z12,"J")</f>
        <v>0</v>
      </c>
      <c r="AG12" s="10">
        <f>SUM(AB12)/20</f>
        <v>0.75</v>
      </c>
      <c r="AJ12" s="17"/>
      <c r="AK12" s="8"/>
      <c r="AL12" s="8"/>
      <c r="AM12" s="8"/>
      <c r="AN12" s="8"/>
      <c r="AO12" s="8"/>
      <c r="AP12" s="8"/>
      <c r="AQ12" s="50"/>
    </row>
    <row r="13" spans="1:43" s="3" customFormat="1" x14ac:dyDescent="0.3">
      <c r="A13" s="51">
        <v>2</v>
      </c>
      <c r="B13" s="9">
        <f>Enero!B13</f>
        <v>6</v>
      </c>
      <c r="C13" s="12" t="str">
        <f>Enero!C13</f>
        <v>Dávila Bedoya Kevin Alejandro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59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59"/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59"/>
      <c r="V13" s="1"/>
      <c r="W13" s="1"/>
      <c r="X13" s="1"/>
      <c r="Y13" s="1"/>
      <c r="Z13" s="1"/>
      <c r="AA13" s="59"/>
      <c r="AB13" s="4" cm="1">
        <f t="array" ref="AB13">COUNTIF(D13:Z13,1)+COUNTIF(D13:Z13,U)+COUNTIF(D13:Z13,_xleta.T)+COUNTIF(D13:Z13,J)</f>
        <v>15</v>
      </c>
      <c r="AC13" s="4">
        <f>COUNTIF(D13:Z13,0)</f>
        <v>0</v>
      </c>
      <c r="AD13" s="4">
        <f>COUNTIF(D13:Z13,"T")</f>
        <v>0</v>
      </c>
      <c r="AE13" s="4">
        <f>COUNTIF(D13:Z13,"U")</f>
        <v>0</v>
      </c>
      <c r="AF13" s="4">
        <f t="shared" ref="AF13:AF37" si="0">COUNTIF(D13:Z13,"J")</f>
        <v>0</v>
      </c>
      <c r="AG13" s="10">
        <f>SUM(AB13)/20</f>
        <v>0.75</v>
      </c>
      <c r="AJ13" s="17"/>
      <c r="AK13" s="14">
        <v>1</v>
      </c>
      <c r="AL13" s="3" t="s">
        <v>10</v>
      </c>
      <c r="AM13" s="8"/>
      <c r="AN13" s="8"/>
      <c r="AQ13" s="18"/>
    </row>
    <row r="14" spans="1:43" s="3" customFormat="1" x14ac:dyDescent="0.3">
      <c r="A14" s="51">
        <v>3</v>
      </c>
      <c r="B14" s="9">
        <f>Enero!B14</f>
        <v>6</v>
      </c>
      <c r="C14" s="12" t="str">
        <f>Enero!C14</f>
        <v>Franco Barraza Maria Jose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59"/>
      <c r="J14" s="1">
        <v>1</v>
      </c>
      <c r="K14" s="1" t="s">
        <v>50</v>
      </c>
      <c r="L14" s="1">
        <v>1</v>
      </c>
      <c r="M14" s="1">
        <v>1</v>
      </c>
      <c r="N14" s="1">
        <v>1</v>
      </c>
      <c r="O14" s="59"/>
      <c r="P14" s="1">
        <v>1</v>
      </c>
      <c r="Q14" s="1">
        <v>1</v>
      </c>
      <c r="R14" s="1" t="s">
        <v>50</v>
      </c>
      <c r="S14" s="1">
        <v>1</v>
      </c>
      <c r="T14" s="1">
        <v>1</v>
      </c>
      <c r="U14" s="59"/>
      <c r="V14" s="1"/>
      <c r="W14" s="1"/>
      <c r="X14" s="1"/>
      <c r="Y14" s="1"/>
      <c r="Z14" s="1"/>
      <c r="AA14" s="59"/>
      <c r="AB14" s="4" cm="1">
        <f t="array" ref="AB14">COUNTIF(D14:Z14,1)+COUNTIF(D14:Z14,U)+COUNTIF(D14:Z14,_xleta.T)+COUNTIF(D14:Z14,J)</f>
        <v>13</v>
      </c>
      <c r="AC14" s="4">
        <f t="shared" ref="AC14:AC37" si="1">COUNTIF(D14:Z14,0)</f>
        <v>0</v>
      </c>
      <c r="AD14" s="4">
        <f t="shared" ref="AD14:AD37" si="2">COUNTIF(D14:Z14,"T")</f>
        <v>0</v>
      </c>
      <c r="AE14" s="4">
        <f t="shared" ref="AE14:AE37" si="3">COUNTIF(D14:Z14,"U")</f>
        <v>2</v>
      </c>
      <c r="AF14" s="4">
        <f t="shared" si="0"/>
        <v>0</v>
      </c>
      <c r="AG14" s="10">
        <f t="shared" ref="AG14:AG37" si="4">SUM(AB14)/20</f>
        <v>0.65</v>
      </c>
      <c r="AJ14" s="17"/>
      <c r="AK14" s="15">
        <v>0</v>
      </c>
      <c r="AL14" s="3" t="s">
        <v>14</v>
      </c>
      <c r="AQ14" s="18"/>
    </row>
    <row r="15" spans="1:43" s="3" customFormat="1" x14ac:dyDescent="0.3">
      <c r="A15" s="51">
        <v>4</v>
      </c>
      <c r="B15" s="9">
        <f>Enero!B15</f>
        <v>6</v>
      </c>
      <c r="C15" s="12" t="str">
        <f>Enero!C15</f>
        <v>Vera Figuera Branyelis Del Carmen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59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59"/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59"/>
      <c r="V15" s="1"/>
      <c r="W15" s="1"/>
      <c r="X15" s="1"/>
      <c r="Y15" s="1"/>
      <c r="Z15" s="1"/>
      <c r="AA15" s="59"/>
      <c r="AB15" s="4" cm="1">
        <f t="array" ref="AB15">COUNTIF(D15:Z15,1)+COUNTIF(D15:Z15,U)+COUNTIF(D15:Z15,_xleta.T)+COUNTIF(D15:Z15,J)</f>
        <v>15</v>
      </c>
      <c r="AC15" s="4">
        <f t="shared" si="1"/>
        <v>0</v>
      </c>
      <c r="AD15" s="4">
        <f t="shared" si="2"/>
        <v>0</v>
      </c>
      <c r="AE15" s="4">
        <f t="shared" si="3"/>
        <v>0</v>
      </c>
      <c r="AF15" s="4">
        <f t="shared" si="0"/>
        <v>0</v>
      </c>
      <c r="AG15" s="10">
        <f t="shared" si="4"/>
        <v>0.75</v>
      </c>
      <c r="AJ15" s="17"/>
      <c r="AK15" s="16" t="s">
        <v>11</v>
      </c>
      <c r="AL15" s="3" t="s">
        <v>12</v>
      </c>
      <c r="AQ15" s="18"/>
    </row>
    <row r="16" spans="1:43" ht="15" thickBot="1" x14ac:dyDescent="0.35">
      <c r="A16" s="51">
        <v>5</v>
      </c>
      <c r="B16" s="9">
        <f>Enero!B16</f>
        <v>7</v>
      </c>
      <c r="C16" s="12" t="str">
        <f>Enero!C16</f>
        <v>Adrianza Figuera Brainer Josué</v>
      </c>
      <c r="D16" s="1">
        <v>1</v>
      </c>
      <c r="E16" s="1">
        <v>1</v>
      </c>
      <c r="F16" s="1" t="s">
        <v>50</v>
      </c>
      <c r="G16" s="1">
        <v>1</v>
      </c>
      <c r="H16" s="1">
        <v>1</v>
      </c>
      <c r="I16" s="59"/>
      <c r="J16" s="4">
        <v>1</v>
      </c>
      <c r="K16" s="4">
        <v>1</v>
      </c>
      <c r="L16" s="4">
        <v>1</v>
      </c>
      <c r="M16" s="1">
        <v>1</v>
      </c>
      <c r="N16" s="1">
        <v>1</v>
      </c>
      <c r="O16" s="59"/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59"/>
      <c r="V16" s="1"/>
      <c r="W16" s="1"/>
      <c r="X16" s="1"/>
      <c r="Y16" s="1"/>
      <c r="Z16" s="1"/>
      <c r="AA16" s="59"/>
      <c r="AB16" s="4" cm="1">
        <f t="array" ref="AB16">COUNTIF(D16:Z16,1)+COUNTIF(D16:Z16,U)+COUNTIF(D16:Z16,_xleta.T)+COUNTIF(D16:Z16,J)</f>
        <v>14</v>
      </c>
      <c r="AC16" s="4">
        <f t="shared" si="1"/>
        <v>0</v>
      </c>
      <c r="AD16" s="4">
        <f t="shared" si="2"/>
        <v>0</v>
      </c>
      <c r="AE16" s="4">
        <f t="shared" si="3"/>
        <v>1</v>
      </c>
      <c r="AF16" s="4">
        <f t="shared" si="0"/>
        <v>0</v>
      </c>
      <c r="AG16" s="10">
        <f t="shared" si="4"/>
        <v>0.7</v>
      </c>
      <c r="AJ16" s="19"/>
      <c r="AK16" s="20" t="s">
        <v>6</v>
      </c>
      <c r="AL16" s="21" t="s">
        <v>13</v>
      </c>
      <c r="AM16" s="22"/>
      <c r="AN16" s="22"/>
      <c r="AO16" s="22"/>
      <c r="AP16" s="22"/>
      <c r="AQ16" s="23"/>
    </row>
    <row r="17" spans="1:41" x14ac:dyDescent="0.3">
      <c r="A17" s="51">
        <v>6</v>
      </c>
      <c r="B17" s="9">
        <f>Enero!B17</f>
        <v>7</v>
      </c>
      <c r="C17" s="12" t="str">
        <f>Enero!C17</f>
        <v>Chavarría Valencia Dylan Alexis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59"/>
      <c r="J17" s="4">
        <v>1</v>
      </c>
      <c r="K17" s="4">
        <v>1</v>
      </c>
      <c r="L17" s="4">
        <v>1</v>
      </c>
      <c r="M17" s="1">
        <v>1</v>
      </c>
      <c r="N17" s="1">
        <v>1</v>
      </c>
      <c r="O17" s="59"/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59"/>
      <c r="V17" s="1"/>
      <c r="W17" s="1"/>
      <c r="X17" s="1"/>
      <c r="Y17" s="1"/>
      <c r="Z17" s="1"/>
      <c r="AA17" s="59"/>
      <c r="AB17" s="4" cm="1">
        <f t="array" ref="AB17">COUNTIF(D17:Z17,1)+COUNTIF(D17:Z17,U)+COUNTIF(D17:Z17,_xleta.T)+COUNTIF(D17:Z17,J)</f>
        <v>15</v>
      </c>
      <c r="AC17" s="4">
        <f t="shared" si="1"/>
        <v>0</v>
      </c>
      <c r="AD17" s="4">
        <f t="shared" si="2"/>
        <v>0</v>
      </c>
      <c r="AE17" s="4">
        <f t="shared" si="3"/>
        <v>0</v>
      </c>
      <c r="AF17" s="4">
        <f t="shared" si="0"/>
        <v>0</v>
      </c>
      <c r="AG17" s="10">
        <f t="shared" si="4"/>
        <v>0.75</v>
      </c>
      <c r="AK17" t="s">
        <v>50</v>
      </c>
      <c r="AL17" s="3" t="s">
        <v>51</v>
      </c>
    </row>
    <row r="18" spans="1:41" x14ac:dyDescent="0.3">
      <c r="A18" s="51">
        <v>7</v>
      </c>
      <c r="B18" s="9">
        <f>Enero!B18</f>
        <v>7</v>
      </c>
      <c r="C18" s="12" t="str">
        <f>Enero!C18</f>
        <v>Giraldo Ceballos Miguel Angel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59"/>
      <c r="J18" s="4">
        <v>1</v>
      </c>
      <c r="K18" s="4">
        <v>1</v>
      </c>
      <c r="L18" s="4">
        <v>1</v>
      </c>
      <c r="M18" s="1">
        <v>1</v>
      </c>
      <c r="N18" s="1">
        <v>1</v>
      </c>
      <c r="O18" s="59"/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59"/>
      <c r="V18" s="1"/>
      <c r="W18" s="1"/>
      <c r="X18" s="1"/>
      <c r="Y18" s="1"/>
      <c r="Z18" s="1"/>
      <c r="AA18" s="59"/>
      <c r="AB18" s="4" cm="1">
        <f t="array" ref="AB18">COUNTIF(D18:Z18,1)+COUNTIF(D18:Z18,U)+COUNTIF(D18:Z18,_xleta.T)+COUNTIF(D18:Z18,J)</f>
        <v>15</v>
      </c>
      <c r="AC18" s="4">
        <f t="shared" si="1"/>
        <v>0</v>
      </c>
      <c r="AD18" s="4">
        <f t="shared" si="2"/>
        <v>0</v>
      </c>
      <c r="AE18" s="4">
        <f t="shared" si="3"/>
        <v>0</v>
      </c>
      <c r="AF18" s="4">
        <f t="shared" si="0"/>
        <v>0</v>
      </c>
      <c r="AG18" s="10">
        <f t="shared" si="4"/>
        <v>0.75</v>
      </c>
    </row>
    <row r="19" spans="1:41" x14ac:dyDescent="0.3">
      <c r="A19" s="51">
        <v>8</v>
      </c>
      <c r="B19" s="9">
        <f>Enero!B19</f>
        <v>7</v>
      </c>
      <c r="C19" s="12" t="str">
        <f>Enero!C19</f>
        <v>Hincapié Muñoz Juan Pablo</v>
      </c>
      <c r="D19" s="1" t="s">
        <v>6</v>
      </c>
      <c r="E19" s="1">
        <v>1</v>
      </c>
      <c r="F19" s="1">
        <v>1</v>
      </c>
      <c r="G19" s="1">
        <v>1</v>
      </c>
      <c r="H19" s="1">
        <v>1</v>
      </c>
      <c r="I19" s="59"/>
      <c r="J19" s="4">
        <v>1</v>
      </c>
      <c r="K19" s="4">
        <v>1</v>
      </c>
      <c r="L19" s="4">
        <v>1</v>
      </c>
      <c r="M19" s="1">
        <v>1</v>
      </c>
      <c r="N19" s="1">
        <v>1</v>
      </c>
      <c r="O19" s="59"/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59"/>
      <c r="V19" s="1"/>
      <c r="W19" s="1"/>
      <c r="X19" s="1"/>
      <c r="Y19" s="1"/>
      <c r="Z19" s="1"/>
      <c r="AA19" s="59"/>
      <c r="AB19" s="4" cm="1">
        <f t="array" ref="AB19">COUNTIF(D19:Z19,1)+COUNTIF(D19:Z19,U)+COUNTIF(D19:Z19,_xleta.T)+COUNTIF(D19:Z19,J)</f>
        <v>14</v>
      </c>
      <c r="AC19" s="4">
        <f t="shared" si="1"/>
        <v>0</v>
      </c>
      <c r="AD19" s="4">
        <f t="shared" si="2"/>
        <v>0</v>
      </c>
      <c r="AE19" s="4">
        <f t="shared" si="3"/>
        <v>0</v>
      </c>
      <c r="AF19" s="4">
        <f t="shared" si="0"/>
        <v>1</v>
      </c>
      <c r="AG19" s="10">
        <f t="shared" si="4"/>
        <v>0.7</v>
      </c>
      <c r="AL19" s="8"/>
      <c r="AN19" s="3"/>
      <c r="AO19" s="3"/>
    </row>
    <row r="20" spans="1:41" x14ac:dyDescent="0.3">
      <c r="A20" s="51">
        <v>9</v>
      </c>
      <c r="B20" s="9">
        <f>Enero!B20</f>
        <v>7</v>
      </c>
      <c r="C20" s="12" t="str">
        <f>Enero!C20</f>
        <v>Jiménez Muñoz Alejandro</v>
      </c>
      <c r="D20" s="1">
        <v>1</v>
      </c>
      <c r="E20" s="1">
        <v>1</v>
      </c>
      <c r="F20" s="1" t="s">
        <v>50</v>
      </c>
      <c r="G20" s="1">
        <v>1</v>
      </c>
      <c r="H20" s="1">
        <v>1</v>
      </c>
      <c r="I20" s="59"/>
      <c r="J20" s="4">
        <v>1</v>
      </c>
      <c r="K20" s="4" t="s">
        <v>50</v>
      </c>
      <c r="L20" s="4">
        <v>1</v>
      </c>
      <c r="M20" s="1">
        <v>1</v>
      </c>
      <c r="N20" s="1">
        <v>1</v>
      </c>
      <c r="O20" s="59"/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59"/>
      <c r="V20" s="1"/>
      <c r="W20" s="1"/>
      <c r="X20" s="1"/>
      <c r="Y20" s="1"/>
      <c r="Z20" s="1"/>
      <c r="AA20" s="59"/>
      <c r="AB20" s="4" cm="1">
        <f t="array" ref="AB20">COUNTIF(D20:Z20,1)+COUNTIF(D20:Z20,U)+COUNTIF(D20:Z20,_xleta.T)+COUNTIF(D20:Z20,J)</f>
        <v>13</v>
      </c>
      <c r="AC20" s="4">
        <f t="shared" si="1"/>
        <v>0</v>
      </c>
      <c r="AD20" s="4">
        <f t="shared" si="2"/>
        <v>0</v>
      </c>
      <c r="AE20" s="4">
        <f t="shared" si="3"/>
        <v>2</v>
      </c>
      <c r="AF20" s="4">
        <f t="shared" si="0"/>
        <v>0</v>
      </c>
      <c r="AG20" s="10">
        <f t="shared" si="4"/>
        <v>0.65</v>
      </c>
      <c r="AL20" s="8"/>
    </row>
    <row r="21" spans="1:41" x14ac:dyDescent="0.3">
      <c r="A21" s="51">
        <v>10</v>
      </c>
      <c r="B21" s="9">
        <f>Enero!B21</f>
        <v>7</v>
      </c>
      <c r="C21" s="12" t="str">
        <f>Enero!C21</f>
        <v>Rodríguez Correa Dubian Esteban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59"/>
      <c r="J21" s="4">
        <v>1</v>
      </c>
      <c r="K21" s="4">
        <v>1</v>
      </c>
      <c r="L21" s="4">
        <v>1</v>
      </c>
      <c r="M21" s="1">
        <v>1</v>
      </c>
      <c r="N21" s="1">
        <v>1</v>
      </c>
      <c r="O21" s="59"/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59"/>
      <c r="V21" s="1"/>
      <c r="W21" s="1"/>
      <c r="X21" s="1"/>
      <c r="Y21" s="1"/>
      <c r="Z21" s="1"/>
      <c r="AA21" s="59"/>
      <c r="AB21" s="4" cm="1">
        <f t="array" ref="AB21">COUNTIF(D21:Z21,1)+COUNTIF(D21:Z21,U)+COUNTIF(D21:Z21,_xleta.T)+COUNTIF(D21:Z21,J)</f>
        <v>15</v>
      </c>
      <c r="AC21" s="4">
        <f t="shared" si="1"/>
        <v>0</v>
      </c>
      <c r="AD21" s="4">
        <f t="shared" si="2"/>
        <v>0</v>
      </c>
      <c r="AE21" s="4">
        <f t="shared" si="3"/>
        <v>0</v>
      </c>
      <c r="AF21" s="4">
        <f t="shared" si="0"/>
        <v>0</v>
      </c>
      <c r="AG21" s="10">
        <f t="shared" si="4"/>
        <v>0.75</v>
      </c>
      <c r="AL21" s="8"/>
      <c r="AM21" s="3"/>
      <c r="AN21" s="3"/>
      <c r="AO21" s="3"/>
    </row>
    <row r="22" spans="1:41" x14ac:dyDescent="0.3">
      <c r="A22" s="51">
        <v>11</v>
      </c>
      <c r="B22" s="9">
        <f>Enero!B22</f>
        <v>7</v>
      </c>
      <c r="C22" s="12" t="str">
        <f>Enero!C22</f>
        <v>Valencia Virgen Alexandra</v>
      </c>
      <c r="D22" s="1">
        <v>1</v>
      </c>
      <c r="E22" s="1">
        <v>1</v>
      </c>
      <c r="F22" s="1" t="s">
        <v>50</v>
      </c>
      <c r="G22" s="1">
        <v>1</v>
      </c>
      <c r="H22" s="1">
        <v>1</v>
      </c>
      <c r="I22" s="59"/>
      <c r="J22" s="4">
        <v>0</v>
      </c>
      <c r="K22" s="4" t="s">
        <v>50</v>
      </c>
      <c r="L22" s="4">
        <v>1</v>
      </c>
      <c r="M22" s="1">
        <v>1</v>
      </c>
      <c r="N22" s="1">
        <v>1</v>
      </c>
      <c r="O22" s="59"/>
      <c r="P22" s="1">
        <v>1</v>
      </c>
      <c r="Q22" s="1">
        <v>1</v>
      </c>
      <c r="R22" s="1">
        <v>1</v>
      </c>
      <c r="S22" s="1" t="s">
        <v>50</v>
      </c>
      <c r="T22" s="1">
        <v>1</v>
      </c>
      <c r="U22" s="59"/>
      <c r="V22" s="1"/>
      <c r="W22" s="1"/>
      <c r="X22" s="1"/>
      <c r="Y22" s="1"/>
      <c r="Z22" s="1"/>
      <c r="AA22" s="59"/>
      <c r="AB22" s="4" cm="1">
        <f t="array" ref="AB22">COUNTIF(D22:Z22,1)+COUNTIF(D22:Z22,U)+COUNTIF(D22:Z22,_xleta.T)+COUNTIF(D22:Z22,J)</f>
        <v>11</v>
      </c>
      <c r="AC22" s="4">
        <f t="shared" si="1"/>
        <v>1</v>
      </c>
      <c r="AD22" s="4">
        <f t="shared" si="2"/>
        <v>0</v>
      </c>
      <c r="AE22" s="4">
        <f t="shared" si="3"/>
        <v>3</v>
      </c>
      <c r="AF22" s="4">
        <f t="shared" si="0"/>
        <v>0</v>
      </c>
      <c r="AG22" s="10">
        <f t="shared" si="4"/>
        <v>0.55000000000000004</v>
      </c>
      <c r="AL22" s="7"/>
    </row>
    <row r="23" spans="1:41" x14ac:dyDescent="0.3">
      <c r="A23" s="51">
        <v>12</v>
      </c>
      <c r="B23" s="9">
        <f>Enero!B23</f>
        <v>8</v>
      </c>
      <c r="C23" s="12" t="str">
        <f>Enero!C23</f>
        <v>Caviedes Hernández Juan Manuel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59"/>
      <c r="J23" s="4">
        <v>1</v>
      </c>
      <c r="K23" s="4">
        <v>1</v>
      </c>
      <c r="L23" s="4">
        <v>1</v>
      </c>
      <c r="M23" s="1">
        <v>1</v>
      </c>
      <c r="N23" s="1">
        <v>1</v>
      </c>
      <c r="O23" s="59"/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59"/>
      <c r="V23" s="1"/>
      <c r="W23" s="1"/>
      <c r="X23" s="1"/>
      <c r="Y23" s="1"/>
      <c r="Z23" s="1"/>
      <c r="AA23" s="59"/>
      <c r="AB23" s="4" cm="1">
        <f t="array" ref="AB23">COUNTIF(D23:Z23,1)+COUNTIF(D23:Z23,U)+COUNTIF(D23:Z23,_xleta.T)+COUNTIF(D23:Z23,J)</f>
        <v>15</v>
      </c>
      <c r="AC23" s="4">
        <f t="shared" si="1"/>
        <v>0</v>
      </c>
      <c r="AD23" s="4">
        <f t="shared" si="2"/>
        <v>0</v>
      </c>
      <c r="AE23" s="4">
        <f t="shared" si="3"/>
        <v>0</v>
      </c>
      <c r="AF23" s="4">
        <f t="shared" si="0"/>
        <v>0</v>
      </c>
      <c r="AG23" s="10">
        <f t="shared" si="4"/>
        <v>0.75</v>
      </c>
    </row>
    <row r="24" spans="1:41" x14ac:dyDescent="0.3">
      <c r="A24" s="51">
        <v>13</v>
      </c>
      <c r="B24" s="9">
        <f>Enero!B24</f>
        <v>8</v>
      </c>
      <c r="C24" s="12" t="str">
        <f>Enero!C24</f>
        <v>Orozco Chavarría Cristóbal</v>
      </c>
      <c r="D24" s="1" t="s">
        <v>11</v>
      </c>
      <c r="E24" s="1">
        <v>1</v>
      </c>
      <c r="F24" s="1">
        <v>1</v>
      </c>
      <c r="G24" s="1">
        <v>1</v>
      </c>
      <c r="H24" s="1">
        <v>1</v>
      </c>
      <c r="I24" s="59"/>
      <c r="J24" s="4">
        <v>1</v>
      </c>
      <c r="K24" s="4">
        <v>1</v>
      </c>
      <c r="L24" s="4">
        <v>0</v>
      </c>
      <c r="M24" s="1">
        <v>1</v>
      </c>
      <c r="N24" s="1">
        <v>1</v>
      </c>
      <c r="O24" s="59"/>
      <c r="P24" s="1">
        <v>1</v>
      </c>
      <c r="Q24" s="1">
        <v>1</v>
      </c>
      <c r="R24" s="1" t="s">
        <v>50</v>
      </c>
      <c r="S24" s="1">
        <v>1</v>
      </c>
      <c r="T24" s="1">
        <v>1</v>
      </c>
      <c r="U24" s="59"/>
      <c r="V24" s="1"/>
      <c r="W24" s="1"/>
      <c r="X24" s="1"/>
      <c r="Y24" s="1"/>
      <c r="Z24" s="1"/>
      <c r="AA24" s="59"/>
      <c r="AB24" s="4" cm="1">
        <f t="array" ref="AB24">COUNTIF(D24:Z24,1)+COUNTIF(D24:Z24,U)+COUNTIF(D24:Z24,_xleta.T)+COUNTIF(D24:Z24,J)</f>
        <v>12</v>
      </c>
      <c r="AC24" s="4">
        <f t="shared" si="1"/>
        <v>1</v>
      </c>
      <c r="AD24" s="4">
        <f t="shared" si="2"/>
        <v>0</v>
      </c>
      <c r="AE24" s="4">
        <f t="shared" si="3"/>
        <v>1</v>
      </c>
      <c r="AF24" s="4">
        <f t="shared" si="0"/>
        <v>0</v>
      </c>
      <c r="AG24" s="10">
        <f t="shared" si="4"/>
        <v>0.6</v>
      </c>
    </row>
    <row r="25" spans="1:41" x14ac:dyDescent="0.3">
      <c r="A25" s="51">
        <v>14</v>
      </c>
      <c r="B25" s="9">
        <f>Enero!B25</f>
        <v>8</v>
      </c>
      <c r="C25" s="12" t="str">
        <f>Enero!C25</f>
        <v>Velásquez Muñoz Anyely Tatiana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59"/>
      <c r="J25" s="4">
        <v>1</v>
      </c>
      <c r="K25" s="4">
        <v>1</v>
      </c>
      <c r="L25" s="4">
        <v>1</v>
      </c>
      <c r="M25" s="1">
        <v>1</v>
      </c>
      <c r="N25" s="1">
        <v>1</v>
      </c>
      <c r="O25" s="59"/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59"/>
      <c r="V25" s="4"/>
      <c r="W25" s="4"/>
      <c r="X25" s="4"/>
      <c r="Y25" s="4"/>
      <c r="Z25" s="4"/>
      <c r="AA25" s="59"/>
      <c r="AB25" s="4" cm="1">
        <f t="array" ref="AB25">COUNTIF(D25:Z25,1)+COUNTIF(D25:Z25,U)+COUNTIF(D25:Z25,_xleta.T)+COUNTIF(D25:Z25,J)</f>
        <v>15</v>
      </c>
      <c r="AC25" s="4">
        <f t="shared" si="1"/>
        <v>0</v>
      </c>
      <c r="AD25" s="4">
        <f t="shared" si="2"/>
        <v>0</v>
      </c>
      <c r="AE25" s="4">
        <f t="shared" si="3"/>
        <v>0</v>
      </c>
      <c r="AF25" s="4">
        <f t="shared" si="0"/>
        <v>0</v>
      </c>
      <c r="AG25" s="10">
        <f t="shared" si="4"/>
        <v>0.75</v>
      </c>
    </row>
    <row r="26" spans="1:41" x14ac:dyDescent="0.3">
      <c r="A26" s="51">
        <v>15</v>
      </c>
      <c r="B26" s="9">
        <f>Enero!B26</f>
        <v>9</v>
      </c>
      <c r="C26" s="12" t="str">
        <f>Enero!C26</f>
        <v>Dávila Bedoya Evelin Sofía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59"/>
      <c r="J26" s="4">
        <v>1</v>
      </c>
      <c r="K26" s="4">
        <v>1</v>
      </c>
      <c r="L26" s="4">
        <v>1</v>
      </c>
      <c r="M26" s="1">
        <v>1</v>
      </c>
      <c r="N26" s="1">
        <v>1</v>
      </c>
      <c r="O26" s="59"/>
      <c r="P26" s="4">
        <v>1</v>
      </c>
      <c r="Q26" s="1">
        <v>1</v>
      </c>
      <c r="R26" s="1">
        <v>1</v>
      </c>
      <c r="S26" s="4">
        <v>1</v>
      </c>
      <c r="T26" s="1">
        <v>1</v>
      </c>
      <c r="U26" s="59"/>
      <c r="V26" s="4"/>
      <c r="W26" s="4"/>
      <c r="X26" s="4"/>
      <c r="Y26" s="4"/>
      <c r="Z26" s="4"/>
      <c r="AA26" s="59"/>
      <c r="AB26" s="4" cm="1">
        <f t="array" ref="AB26">COUNTIF(D26:Z26,1)+COUNTIF(D26:Z26,U)+COUNTIF(D26:Z26,_xleta.T)+COUNTIF(D26:Z26,J)</f>
        <v>15</v>
      </c>
      <c r="AC26" s="4">
        <f t="shared" si="1"/>
        <v>0</v>
      </c>
      <c r="AD26" s="4">
        <f t="shared" si="2"/>
        <v>0</v>
      </c>
      <c r="AE26" s="4">
        <f t="shared" si="3"/>
        <v>0</v>
      </c>
      <c r="AF26" s="4">
        <f t="shared" si="0"/>
        <v>0</v>
      </c>
      <c r="AG26" s="10">
        <f t="shared" si="4"/>
        <v>0.75</v>
      </c>
    </row>
    <row r="27" spans="1:41" x14ac:dyDescent="0.3">
      <c r="A27" s="51">
        <v>16</v>
      </c>
      <c r="B27" s="9">
        <f>Enero!B27</f>
        <v>9</v>
      </c>
      <c r="C27" s="12" t="str">
        <f>Enero!C27</f>
        <v>Duque Aristizabal Ángel Gabriel</v>
      </c>
      <c r="D27" s="1">
        <v>1</v>
      </c>
      <c r="E27" s="1">
        <v>1</v>
      </c>
      <c r="F27" s="1" t="s">
        <v>50</v>
      </c>
      <c r="G27" s="1">
        <v>1</v>
      </c>
      <c r="H27" s="1">
        <v>1</v>
      </c>
      <c r="I27" s="59"/>
      <c r="J27" s="4">
        <v>1</v>
      </c>
      <c r="K27" s="4">
        <v>1</v>
      </c>
      <c r="L27" s="4">
        <v>1</v>
      </c>
      <c r="M27" s="1">
        <v>1</v>
      </c>
      <c r="N27" s="1">
        <v>1</v>
      </c>
      <c r="O27" s="59"/>
      <c r="P27" s="4">
        <v>1</v>
      </c>
      <c r="Q27" s="1">
        <v>1</v>
      </c>
      <c r="R27" s="1">
        <v>1</v>
      </c>
      <c r="S27" s="4">
        <v>1</v>
      </c>
      <c r="T27" s="1">
        <v>1</v>
      </c>
      <c r="U27" s="59"/>
      <c r="V27" s="4"/>
      <c r="W27" s="4"/>
      <c r="X27" s="4"/>
      <c r="Y27" s="4"/>
      <c r="Z27" s="4"/>
      <c r="AA27" s="59"/>
      <c r="AB27" s="4" cm="1">
        <f t="array" ref="AB27">COUNTIF(D27:Z27,1)+COUNTIF(D27:Z27,U)+COUNTIF(D27:Z27,_xleta.T)+COUNTIF(D27:Z27,J)</f>
        <v>14</v>
      </c>
      <c r="AC27" s="4">
        <f t="shared" si="1"/>
        <v>0</v>
      </c>
      <c r="AD27" s="4">
        <f t="shared" si="2"/>
        <v>0</v>
      </c>
      <c r="AE27" s="4">
        <f t="shared" si="3"/>
        <v>1</v>
      </c>
      <c r="AF27" s="4">
        <f t="shared" si="0"/>
        <v>0</v>
      </c>
      <c r="AG27" s="10">
        <f t="shared" si="4"/>
        <v>0.7</v>
      </c>
    </row>
    <row r="28" spans="1:41" x14ac:dyDescent="0.3">
      <c r="A28" s="51">
        <v>17</v>
      </c>
      <c r="B28" s="9">
        <f>Enero!B28</f>
        <v>9</v>
      </c>
      <c r="C28" s="12" t="str">
        <f>Enero!C28</f>
        <v>Eusse Castañeda María Fernanda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59"/>
      <c r="J28" s="4">
        <v>1</v>
      </c>
      <c r="K28" s="4">
        <v>1</v>
      </c>
      <c r="L28" s="4">
        <v>1</v>
      </c>
      <c r="M28" s="1">
        <v>1</v>
      </c>
      <c r="N28" s="1">
        <v>1</v>
      </c>
      <c r="O28" s="59"/>
      <c r="P28" s="4">
        <v>1</v>
      </c>
      <c r="Q28" s="1">
        <v>1</v>
      </c>
      <c r="R28" s="1">
        <v>1</v>
      </c>
      <c r="S28" s="4">
        <v>1</v>
      </c>
      <c r="T28" s="1">
        <v>1</v>
      </c>
      <c r="U28" s="59"/>
      <c r="V28" s="4"/>
      <c r="W28" s="4"/>
      <c r="X28" s="4"/>
      <c r="Y28" s="4"/>
      <c r="Z28" s="4"/>
      <c r="AA28" s="59"/>
      <c r="AB28" s="4" cm="1">
        <f t="array" ref="AB28">COUNTIF(D28:Z28,1)+COUNTIF(D28:Z28,U)+COUNTIF(D28:Z28,_xleta.T)+COUNTIF(D28:Z28,J)</f>
        <v>15</v>
      </c>
      <c r="AC28" s="4">
        <f t="shared" si="1"/>
        <v>0</v>
      </c>
      <c r="AD28" s="4">
        <f t="shared" si="2"/>
        <v>0</v>
      </c>
      <c r="AE28" s="4">
        <f t="shared" si="3"/>
        <v>0</v>
      </c>
      <c r="AF28" s="4">
        <f t="shared" si="0"/>
        <v>0</v>
      </c>
      <c r="AG28" s="10">
        <f t="shared" si="4"/>
        <v>0.75</v>
      </c>
    </row>
    <row r="29" spans="1:41" x14ac:dyDescent="0.3">
      <c r="A29" s="51">
        <v>18</v>
      </c>
      <c r="B29" s="9">
        <f>Enero!B29</f>
        <v>9</v>
      </c>
      <c r="C29" s="12" t="str">
        <f>Enero!C29</f>
        <v>Franco Barraza Gyshet Johanna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59"/>
      <c r="J29" s="4">
        <v>1</v>
      </c>
      <c r="K29" s="4">
        <v>1</v>
      </c>
      <c r="L29" s="4" t="s">
        <v>50</v>
      </c>
      <c r="M29" s="1">
        <v>1</v>
      </c>
      <c r="N29" s="1">
        <v>1</v>
      </c>
      <c r="O29" s="59"/>
      <c r="P29" s="4">
        <v>1</v>
      </c>
      <c r="Q29" s="1">
        <v>1</v>
      </c>
      <c r="R29" s="1">
        <v>1</v>
      </c>
      <c r="S29" s="4">
        <v>1</v>
      </c>
      <c r="T29" s="1">
        <v>1</v>
      </c>
      <c r="U29" s="59"/>
      <c r="V29" s="4"/>
      <c r="W29" s="4"/>
      <c r="X29" s="4"/>
      <c r="Y29" s="4"/>
      <c r="Z29" s="4"/>
      <c r="AA29" s="59"/>
      <c r="AB29" s="4" cm="1">
        <f t="array" ref="AB29">COUNTIF(D29:Z29,1)+COUNTIF(D29:Z29,U)+COUNTIF(D29:Z29,_xleta.T)+COUNTIF(D29:Z29,J)</f>
        <v>14</v>
      </c>
      <c r="AC29" s="4">
        <f t="shared" si="1"/>
        <v>0</v>
      </c>
      <c r="AD29" s="4">
        <f t="shared" si="2"/>
        <v>0</v>
      </c>
      <c r="AE29" s="4">
        <f t="shared" si="3"/>
        <v>1</v>
      </c>
      <c r="AF29" s="4">
        <f t="shared" si="0"/>
        <v>0</v>
      </c>
      <c r="AG29" s="10">
        <f t="shared" si="4"/>
        <v>0.7</v>
      </c>
    </row>
    <row r="30" spans="1:41" x14ac:dyDescent="0.3">
      <c r="A30" s="51">
        <v>19</v>
      </c>
      <c r="B30" s="9">
        <f>Enero!B30</f>
        <v>9</v>
      </c>
      <c r="C30" s="12" t="str">
        <f>Enero!C30</f>
        <v>Giraldo Giraldo Juan Camilo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59"/>
      <c r="J30" s="4">
        <v>1</v>
      </c>
      <c r="K30" s="4">
        <v>1</v>
      </c>
      <c r="L30" s="4">
        <v>1</v>
      </c>
      <c r="M30" s="1">
        <v>1</v>
      </c>
      <c r="N30" s="1">
        <v>1</v>
      </c>
      <c r="O30" s="59"/>
      <c r="P30" s="4">
        <v>1</v>
      </c>
      <c r="Q30" s="1" t="s">
        <v>50</v>
      </c>
      <c r="R30" s="1">
        <v>1</v>
      </c>
      <c r="S30" s="4">
        <v>1</v>
      </c>
      <c r="T30" s="1">
        <v>1</v>
      </c>
      <c r="U30" s="59"/>
      <c r="V30" s="4"/>
      <c r="W30" s="4"/>
      <c r="X30" s="4"/>
      <c r="Y30" s="4"/>
      <c r="Z30" s="4"/>
      <c r="AA30" s="59"/>
      <c r="AB30" s="4" cm="1">
        <f t="array" ref="AB30">COUNTIF(D30:Z30,1)+COUNTIF(D30:Z30,U)+COUNTIF(D30:Z30,_xleta.T)+COUNTIF(D30:Z30,J)</f>
        <v>14</v>
      </c>
      <c r="AC30" s="4">
        <f t="shared" si="1"/>
        <v>0</v>
      </c>
      <c r="AD30" s="4">
        <f t="shared" si="2"/>
        <v>0</v>
      </c>
      <c r="AE30" s="4">
        <f t="shared" si="3"/>
        <v>1</v>
      </c>
      <c r="AF30" s="4">
        <f t="shared" si="0"/>
        <v>0</v>
      </c>
      <c r="AG30" s="10">
        <f t="shared" si="4"/>
        <v>0.7</v>
      </c>
    </row>
    <row r="31" spans="1:41" x14ac:dyDescent="0.3">
      <c r="A31" s="51">
        <v>20</v>
      </c>
      <c r="B31" s="9">
        <f>Enero!B31</f>
        <v>9</v>
      </c>
      <c r="C31" s="12" t="str">
        <f>Enero!C31</f>
        <v>Gómez Vergara Michael Estiven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59"/>
      <c r="J31" s="4">
        <v>1</v>
      </c>
      <c r="K31" s="4">
        <v>1</v>
      </c>
      <c r="L31" s="4">
        <v>1</v>
      </c>
      <c r="M31" s="1">
        <v>1</v>
      </c>
      <c r="N31" s="1">
        <v>1</v>
      </c>
      <c r="O31" s="59"/>
      <c r="P31" s="4">
        <v>1</v>
      </c>
      <c r="Q31" s="1">
        <v>1</v>
      </c>
      <c r="R31" s="1">
        <v>1</v>
      </c>
      <c r="S31" s="4">
        <v>1</v>
      </c>
      <c r="T31" s="1">
        <v>1</v>
      </c>
      <c r="U31" s="59"/>
      <c r="V31" s="4"/>
      <c r="W31" s="4"/>
      <c r="X31" s="4"/>
      <c r="Y31" s="4"/>
      <c r="Z31" s="4"/>
      <c r="AA31" s="59"/>
      <c r="AB31" s="4" cm="1">
        <f t="array" ref="AB31">COUNTIF(D31:Z31,1)+COUNTIF(D31:Z31,U)+COUNTIF(D31:Z31,_xleta.T)+COUNTIF(D31:Z31,J)</f>
        <v>15</v>
      </c>
      <c r="AC31" s="4">
        <f t="shared" si="1"/>
        <v>0</v>
      </c>
      <c r="AD31" s="4">
        <f t="shared" si="2"/>
        <v>0</v>
      </c>
      <c r="AE31" s="4">
        <f t="shared" si="3"/>
        <v>0</v>
      </c>
      <c r="AF31" s="4">
        <f t="shared" si="0"/>
        <v>0</v>
      </c>
      <c r="AG31" s="10">
        <f t="shared" si="4"/>
        <v>0.75</v>
      </c>
    </row>
    <row r="32" spans="1:41" x14ac:dyDescent="0.3">
      <c r="A32" s="51">
        <v>21</v>
      </c>
      <c r="B32" s="9">
        <f>Enero!B32</f>
        <v>9</v>
      </c>
      <c r="C32" s="12" t="str">
        <f>Enero!C32</f>
        <v>López Aguirre Alexis</v>
      </c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59"/>
      <c r="J32" s="4">
        <v>1</v>
      </c>
      <c r="K32" s="4">
        <v>1</v>
      </c>
      <c r="L32" s="4">
        <v>1</v>
      </c>
      <c r="M32" s="1">
        <v>1</v>
      </c>
      <c r="N32" s="1">
        <v>1</v>
      </c>
      <c r="O32" s="59"/>
      <c r="P32" s="4" t="s">
        <v>6</v>
      </c>
      <c r="Q32" s="1">
        <v>1</v>
      </c>
      <c r="R32" s="1">
        <v>1</v>
      </c>
      <c r="S32" s="4">
        <v>1</v>
      </c>
      <c r="T32" s="1">
        <v>1</v>
      </c>
      <c r="U32" s="59"/>
      <c r="V32" s="4"/>
      <c r="W32" s="4"/>
      <c r="X32" s="4"/>
      <c r="Y32" s="4"/>
      <c r="Z32" s="4"/>
      <c r="AA32" s="59"/>
      <c r="AB32" s="4" cm="1">
        <f t="array" ref="AB32">COUNTIF(D32:Z32,1)+COUNTIF(D32:Z32,U)+COUNTIF(D32:Z32,_xleta.T)+COUNTIF(D32:Z32,J)</f>
        <v>13</v>
      </c>
      <c r="AC32" s="4">
        <f t="shared" si="1"/>
        <v>1</v>
      </c>
      <c r="AD32" s="4">
        <f t="shared" si="2"/>
        <v>0</v>
      </c>
      <c r="AE32" s="4">
        <f t="shared" si="3"/>
        <v>0</v>
      </c>
      <c r="AF32" s="4">
        <f t="shared" si="0"/>
        <v>1</v>
      </c>
      <c r="AG32" s="10">
        <f t="shared" si="4"/>
        <v>0.65</v>
      </c>
    </row>
    <row r="33" spans="1:33" x14ac:dyDescent="0.3">
      <c r="A33" s="51">
        <v>22</v>
      </c>
      <c r="B33" s="9">
        <f>Enero!B33</f>
        <v>10</v>
      </c>
      <c r="C33" s="12" t="str">
        <f>Enero!C33</f>
        <v>Duque Aristizabal Yennifer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59"/>
      <c r="J33" s="4">
        <v>1</v>
      </c>
      <c r="K33" s="4">
        <v>1</v>
      </c>
      <c r="L33" s="4">
        <v>1</v>
      </c>
      <c r="M33" s="1">
        <v>1</v>
      </c>
      <c r="N33" s="1">
        <v>1</v>
      </c>
      <c r="O33" s="59"/>
      <c r="P33" s="4">
        <v>1</v>
      </c>
      <c r="Q33" s="1">
        <v>1</v>
      </c>
      <c r="R33" s="1">
        <v>1</v>
      </c>
      <c r="S33" s="4">
        <v>1</v>
      </c>
      <c r="T33" s="1">
        <v>1</v>
      </c>
      <c r="U33" s="59"/>
      <c r="V33" s="4"/>
      <c r="W33" s="4"/>
      <c r="X33" s="4"/>
      <c r="Y33" s="4"/>
      <c r="Z33" s="4"/>
      <c r="AA33" s="59"/>
      <c r="AB33" s="4" cm="1">
        <f t="array" ref="AB33">COUNTIF(D33:Z33,1)+COUNTIF(D33:Z33,U)+COUNTIF(D33:Z33,_xleta.T)+COUNTIF(D33:Z33,J)</f>
        <v>15</v>
      </c>
      <c r="AC33" s="4">
        <f t="shared" si="1"/>
        <v>0</v>
      </c>
      <c r="AD33" s="4">
        <f t="shared" si="2"/>
        <v>0</v>
      </c>
      <c r="AE33" s="4">
        <f t="shared" si="3"/>
        <v>0</v>
      </c>
      <c r="AF33" s="4">
        <f t="shared" si="0"/>
        <v>0</v>
      </c>
      <c r="AG33" s="10">
        <f t="shared" si="4"/>
        <v>0.75</v>
      </c>
    </row>
    <row r="34" spans="1:33" x14ac:dyDescent="0.3">
      <c r="A34" s="51">
        <v>23</v>
      </c>
      <c r="B34" s="9">
        <f>Enero!B34</f>
        <v>10</v>
      </c>
      <c r="C34" s="12" t="str">
        <f>Enero!C34</f>
        <v>García Navarro Sebastian Camilo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59"/>
      <c r="J34" s="4">
        <v>1</v>
      </c>
      <c r="K34" s="4">
        <v>1</v>
      </c>
      <c r="L34" s="4">
        <v>1</v>
      </c>
      <c r="M34" s="1">
        <v>1</v>
      </c>
      <c r="N34" s="1">
        <v>1</v>
      </c>
      <c r="O34" s="59"/>
      <c r="P34" s="4">
        <v>1</v>
      </c>
      <c r="Q34" s="1">
        <v>1</v>
      </c>
      <c r="R34" s="1">
        <v>1</v>
      </c>
      <c r="S34" s="4">
        <v>1</v>
      </c>
      <c r="T34" s="1">
        <v>1</v>
      </c>
      <c r="U34" s="59"/>
      <c r="V34" s="4"/>
      <c r="W34" s="4"/>
      <c r="X34" s="4"/>
      <c r="Y34" s="4"/>
      <c r="Z34" s="4"/>
      <c r="AA34" s="59"/>
      <c r="AB34" s="4" cm="1">
        <f t="array" ref="AB34">COUNTIF(D34:Z34,1)+COUNTIF(D34:Z34,U)+COUNTIF(D34:Z34,_xleta.T)+COUNTIF(D34:Z34,J)</f>
        <v>15</v>
      </c>
      <c r="AC34" s="4">
        <f t="shared" si="1"/>
        <v>0</v>
      </c>
      <c r="AD34" s="4">
        <f t="shared" si="2"/>
        <v>0</v>
      </c>
      <c r="AE34" s="4">
        <f t="shared" si="3"/>
        <v>0</v>
      </c>
      <c r="AF34" s="4">
        <f t="shared" si="0"/>
        <v>0</v>
      </c>
      <c r="AG34" s="10">
        <f t="shared" si="4"/>
        <v>0.75</v>
      </c>
    </row>
    <row r="35" spans="1:33" x14ac:dyDescent="0.3">
      <c r="A35" s="51">
        <v>24</v>
      </c>
      <c r="B35" s="9">
        <f>Enero!B35</f>
        <v>10</v>
      </c>
      <c r="C35" s="12" t="str">
        <f>Enero!C35</f>
        <v>Gallego Giraldo Marlon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59"/>
      <c r="J35" s="4">
        <v>1</v>
      </c>
      <c r="K35" s="4">
        <v>1</v>
      </c>
      <c r="L35" s="4">
        <v>1</v>
      </c>
      <c r="M35" s="1">
        <v>1</v>
      </c>
      <c r="N35" s="1">
        <v>1</v>
      </c>
      <c r="O35" s="59"/>
      <c r="P35" s="4">
        <v>1</v>
      </c>
      <c r="Q35" s="1">
        <v>1</v>
      </c>
      <c r="R35" s="1">
        <v>1</v>
      </c>
      <c r="S35" s="4">
        <v>1</v>
      </c>
      <c r="T35" s="1">
        <v>1</v>
      </c>
      <c r="U35" s="59"/>
      <c r="V35" s="4"/>
      <c r="W35" s="4"/>
      <c r="X35" s="4"/>
      <c r="Y35" s="4"/>
      <c r="Z35" s="4"/>
      <c r="AA35" s="59"/>
      <c r="AB35" s="4" cm="1">
        <f t="array" ref="AB35">COUNTIF(D35:Z35,1)+COUNTIF(D35:Z35,U)+COUNTIF(D35:Z35,_xleta.T)+COUNTIF(D35:Z35,J)</f>
        <v>15</v>
      </c>
      <c r="AC35" s="4">
        <f t="shared" si="1"/>
        <v>0</v>
      </c>
      <c r="AD35" s="4">
        <f t="shared" si="2"/>
        <v>0</v>
      </c>
      <c r="AE35" s="4">
        <f t="shared" si="3"/>
        <v>0</v>
      </c>
      <c r="AF35" s="4">
        <f t="shared" si="0"/>
        <v>0</v>
      </c>
      <c r="AG35" s="10">
        <f t="shared" si="4"/>
        <v>0.75</v>
      </c>
    </row>
    <row r="36" spans="1:33" x14ac:dyDescent="0.3">
      <c r="A36" s="51">
        <v>25</v>
      </c>
      <c r="B36" s="9">
        <f>Enero!B36</f>
        <v>10</v>
      </c>
      <c r="C36" s="12" t="str">
        <f>Enero!C36</f>
        <v>Gómez Pamplona Julieta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59"/>
      <c r="J36" s="4">
        <v>1</v>
      </c>
      <c r="K36" s="4">
        <v>1</v>
      </c>
      <c r="L36" s="4">
        <v>1</v>
      </c>
      <c r="M36" s="1">
        <v>1</v>
      </c>
      <c r="N36" s="1">
        <v>1</v>
      </c>
      <c r="O36" s="59"/>
      <c r="P36" s="4" t="s">
        <v>6</v>
      </c>
      <c r="Q36" s="1">
        <v>1</v>
      </c>
      <c r="R36" s="1">
        <v>1</v>
      </c>
      <c r="S36" s="4">
        <v>1</v>
      </c>
      <c r="T36" s="1">
        <v>1</v>
      </c>
      <c r="U36" s="59"/>
      <c r="V36" s="4"/>
      <c r="W36" s="4"/>
      <c r="X36" s="4"/>
      <c r="Y36" s="4"/>
      <c r="Z36" s="4"/>
      <c r="AA36" s="59"/>
      <c r="AB36" s="4" cm="1">
        <f t="array" ref="AB36">COUNTIF(D36:Z36,1)+COUNTIF(D36:Z36,U)+COUNTIF(D36:Z36,_xleta.T)+COUNTIF(D36:Z36,J)</f>
        <v>14</v>
      </c>
      <c r="AC36" s="4">
        <f t="shared" si="1"/>
        <v>0</v>
      </c>
      <c r="AD36" s="4">
        <f t="shared" si="2"/>
        <v>0</v>
      </c>
      <c r="AE36" s="4">
        <f t="shared" si="3"/>
        <v>0</v>
      </c>
      <c r="AF36" s="4">
        <f t="shared" si="0"/>
        <v>1</v>
      </c>
      <c r="AG36" s="10">
        <f t="shared" si="4"/>
        <v>0.7</v>
      </c>
    </row>
    <row r="37" spans="1:33" x14ac:dyDescent="0.3">
      <c r="A37" s="51">
        <v>26</v>
      </c>
      <c r="B37" s="9">
        <f>Enero!B37</f>
        <v>10</v>
      </c>
      <c r="C37" s="12" t="str">
        <f>Enero!C37</f>
        <v>González Martínez Salomé</v>
      </c>
      <c r="D37" s="1" t="s">
        <v>6</v>
      </c>
      <c r="E37" s="1">
        <v>1</v>
      </c>
      <c r="F37" s="1">
        <v>1</v>
      </c>
      <c r="G37" s="1">
        <v>1</v>
      </c>
      <c r="H37" s="1">
        <v>1</v>
      </c>
      <c r="I37" s="59"/>
      <c r="J37" s="4">
        <v>1</v>
      </c>
      <c r="K37" s="4">
        <v>1</v>
      </c>
      <c r="L37" s="4">
        <v>1</v>
      </c>
      <c r="M37" s="1">
        <v>1</v>
      </c>
      <c r="N37" s="1">
        <v>1</v>
      </c>
      <c r="O37" s="59"/>
      <c r="P37" s="4">
        <v>1</v>
      </c>
      <c r="Q37" s="1">
        <v>1</v>
      </c>
      <c r="R37" s="1">
        <v>1</v>
      </c>
      <c r="S37" s="4">
        <v>1</v>
      </c>
      <c r="T37" s="1">
        <v>1</v>
      </c>
      <c r="U37" s="59"/>
      <c r="V37" s="4"/>
      <c r="W37" s="4"/>
      <c r="X37" s="4"/>
      <c r="Y37" s="4"/>
      <c r="Z37" s="4"/>
      <c r="AA37" s="59"/>
      <c r="AB37" s="4" cm="1">
        <f t="array" ref="AB37">COUNTIF(D37:Z37,1)+COUNTIF(D37:Z37,U)+COUNTIF(D37:Z37,_xleta.T)+COUNTIF(D37:Z37,J)</f>
        <v>14</v>
      </c>
      <c r="AC37" s="4">
        <f t="shared" si="1"/>
        <v>0</v>
      </c>
      <c r="AD37" s="4">
        <f t="shared" si="2"/>
        <v>0</v>
      </c>
      <c r="AE37" s="4">
        <f t="shared" si="3"/>
        <v>0</v>
      </c>
      <c r="AF37" s="4">
        <f t="shared" si="0"/>
        <v>1</v>
      </c>
      <c r="AG37" s="10">
        <f t="shared" si="4"/>
        <v>0.7</v>
      </c>
    </row>
    <row r="38" spans="1:33" x14ac:dyDescent="0.3">
      <c r="A38" s="51">
        <v>27</v>
      </c>
      <c r="B38" s="9">
        <v>10</v>
      </c>
      <c r="C38" s="12" t="s">
        <v>56</v>
      </c>
      <c r="D38" s="1" t="s">
        <v>6</v>
      </c>
      <c r="E38" s="1" t="s">
        <v>6</v>
      </c>
      <c r="F38" s="1">
        <v>1</v>
      </c>
      <c r="G38" s="1">
        <v>1</v>
      </c>
      <c r="H38" s="1">
        <v>1</v>
      </c>
      <c r="I38" s="59"/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59"/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59"/>
      <c r="V38" s="4"/>
      <c r="W38" s="4"/>
      <c r="X38" s="4"/>
      <c r="Y38" s="4"/>
      <c r="Z38" s="4"/>
      <c r="AA38" s="59"/>
      <c r="AB38" s="4" cm="1">
        <f t="array" ref="AB38">COUNTIF(D38:Z38,1)+COUNTIF(D38:Z38,U)+COUNTIF(D38:Z38,_xleta.T)+COUNTIF(D38:Z38,J)</f>
        <v>13</v>
      </c>
      <c r="AC38" s="4">
        <f t="shared" ref="AC38" si="5">COUNTIF(D38:Z38,0)</f>
        <v>0</v>
      </c>
      <c r="AD38" s="4">
        <f t="shared" ref="AD38" si="6">COUNTIF(D38:Z38,"T")</f>
        <v>0</v>
      </c>
      <c r="AE38" s="4">
        <f t="shared" ref="AE38" si="7">COUNTIF(D38:Z38,"U")</f>
        <v>0</v>
      </c>
      <c r="AF38" s="4">
        <f t="shared" ref="AF38" si="8">COUNTIF(D38:Z38,"J")</f>
        <v>2</v>
      </c>
      <c r="AG38" s="10">
        <f>SUM(AB38)/20</f>
        <v>0.65</v>
      </c>
    </row>
    <row r="39" spans="1:33" x14ac:dyDescent="0.3">
      <c r="A39" s="51">
        <v>28</v>
      </c>
      <c r="B39" s="9">
        <f>Enero!B39</f>
        <v>10</v>
      </c>
      <c r="C39" s="12" t="str">
        <f>Enero!C39</f>
        <v>Valencia Vásquez Anderson</v>
      </c>
      <c r="D39" s="1">
        <v>1</v>
      </c>
      <c r="E39" s="1">
        <v>1</v>
      </c>
      <c r="F39" s="1">
        <v>1</v>
      </c>
      <c r="G39" s="1" t="s">
        <v>50</v>
      </c>
      <c r="H39" s="1">
        <v>1</v>
      </c>
      <c r="I39" s="59"/>
      <c r="J39" s="4">
        <v>1</v>
      </c>
      <c r="K39" s="4">
        <v>1</v>
      </c>
      <c r="L39" s="4">
        <v>1</v>
      </c>
      <c r="M39" s="1">
        <v>1</v>
      </c>
      <c r="N39" s="1">
        <v>1</v>
      </c>
      <c r="O39" s="59"/>
      <c r="P39" s="4" t="s">
        <v>6</v>
      </c>
      <c r="Q39" s="1">
        <v>1</v>
      </c>
      <c r="R39" s="1">
        <v>1</v>
      </c>
      <c r="S39" s="4">
        <v>1</v>
      </c>
      <c r="T39" s="1">
        <v>1</v>
      </c>
      <c r="U39" s="59"/>
      <c r="V39" s="4"/>
      <c r="W39" s="4"/>
      <c r="X39" s="4"/>
      <c r="Y39" s="4"/>
      <c r="Z39" s="4"/>
      <c r="AA39" s="59"/>
      <c r="AB39" s="4" cm="1">
        <f t="array" ref="AB39">COUNTIF(D39:Z39,1)+COUNTIF(D39:Z39,U)+COUNTIF(D39:Z39,_xleta.T)+COUNTIF(D39:Z39,J)</f>
        <v>13</v>
      </c>
      <c r="AC39" s="4">
        <f t="shared" ref="AC39:AC40" si="9">COUNTIF(D39:Z39,0)</f>
        <v>0</v>
      </c>
      <c r="AD39" s="4">
        <f t="shared" ref="AD39:AD40" si="10">COUNTIF(D39:Z39,"T")</f>
        <v>0</v>
      </c>
      <c r="AE39" s="4">
        <f t="shared" ref="AE39:AE40" si="11">COUNTIF(D39:Z39,"U")</f>
        <v>1</v>
      </c>
      <c r="AF39" s="4">
        <f t="shared" ref="AF39:AF40" si="12">COUNTIF(D39:Z39,"J")</f>
        <v>1</v>
      </c>
      <c r="AG39" s="10">
        <f t="shared" ref="AG39:AG40" si="13">SUM(AB39+AD39)/20</f>
        <v>0.65</v>
      </c>
    </row>
    <row r="40" spans="1:33" x14ac:dyDescent="0.3">
      <c r="A40" s="51">
        <v>29</v>
      </c>
      <c r="B40" s="9">
        <f>Enero!B40</f>
        <v>11</v>
      </c>
      <c r="C40" s="12" t="str">
        <f>Enero!C40</f>
        <v>Caviedes Hernández Cristina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59"/>
      <c r="J40" s="4">
        <v>1</v>
      </c>
      <c r="K40" s="4">
        <v>1</v>
      </c>
      <c r="L40" s="4">
        <v>1</v>
      </c>
      <c r="M40" s="1">
        <v>1</v>
      </c>
      <c r="N40" s="1">
        <v>1</v>
      </c>
      <c r="O40" s="59"/>
      <c r="P40" s="4">
        <v>1</v>
      </c>
      <c r="Q40" s="1">
        <v>1</v>
      </c>
      <c r="R40" s="1">
        <v>1</v>
      </c>
      <c r="S40" s="4">
        <v>1</v>
      </c>
      <c r="T40" s="1">
        <v>1</v>
      </c>
      <c r="U40" s="59"/>
      <c r="V40" s="4"/>
      <c r="W40" s="4"/>
      <c r="X40" s="4"/>
      <c r="Y40" s="4"/>
      <c r="Z40" s="4"/>
      <c r="AA40" s="59"/>
      <c r="AB40" s="4" cm="1">
        <f t="array" ref="AB40">COUNTIF(D40:Z40,1)+COUNTIF(D40:Z40,U)+COUNTIF(D40:Z40,_xleta.T)+COUNTIF(D40:Z40,J)</f>
        <v>15</v>
      </c>
      <c r="AC40" s="4">
        <f t="shared" si="9"/>
        <v>0</v>
      </c>
      <c r="AD40" s="4">
        <f t="shared" si="10"/>
        <v>0</v>
      </c>
      <c r="AE40" s="4">
        <f t="shared" si="11"/>
        <v>0</v>
      </c>
      <c r="AF40" s="4">
        <f t="shared" si="12"/>
        <v>0</v>
      </c>
      <c r="AG40" s="10">
        <f t="shared" si="13"/>
        <v>0.75</v>
      </c>
    </row>
    <row r="46" spans="1:33" x14ac:dyDescent="0.3">
      <c r="M46" s="4"/>
    </row>
    <row r="1048576" spans="20:20" x14ac:dyDescent="0.3">
      <c r="T1048576" s="1"/>
    </row>
  </sheetData>
  <mergeCells count="25">
    <mergeCell ref="AJ11:AQ11"/>
    <mergeCell ref="AA4:AC5"/>
    <mergeCell ref="AA6:AC7"/>
    <mergeCell ref="C7:Z7"/>
    <mergeCell ref="C2:Z6"/>
    <mergeCell ref="C10:J10"/>
    <mergeCell ref="K10:S10"/>
    <mergeCell ref="T10:Z10"/>
    <mergeCell ref="AA10:AB10"/>
    <mergeCell ref="I11:I40"/>
    <mergeCell ref="O11:O40"/>
    <mergeCell ref="U11:U40"/>
    <mergeCell ref="AA11:AA40"/>
    <mergeCell ref="AD1:AG7"/>
    <mergeCell ref="A8:AG8"/>
    <mergeCell ref="Y9:AG9"/>
    <mergeCell ref="AC10:AG10"/>
    <mergeCell ref="A1:B7"/>
    <mergeCell ref="C1:AC1"/>
    <mergeCell ref="A10:B10"/>
    <mergeCell ref="A9:B9"/>
    <mergeCell ref="C9:G9"/>
    <mergeCell ref="H9:J9"/>
    <mergeCell ref="K9:S9"/>
    <mergeCell ref="AA2:AC3"/>
  </mergeCells>
  <conditionalFormatting sqref="D12:D40 E38">
    <cfRule type="cellIs" dxfId="236" priority="358" operator="equal">
      <formula>"J"</formula>
    </cfRule>
    <cfRule type="cellIs" dxfId="235" priority="356" operator="equal">
      <formula>"U"</formula>
    </cfRule>
  </conditionalFormatting>
  <conditionalFormatting sqref="D36 F36:G36">
    <cfRule type="iconSet" priority="132">
      <iconSet iconSet="3Symbols">
        <cfvo type="percent" val="0"/>
        <cfvo type="percent" val="33"/>
        <cfvo type="percent" val="67"/>
      </iconSet>
    </cfRule>
  </conditionalFormatting>
  <conditionalFormatting sqref="D37:D39 F39:G39 F14:G35 D12:H12 D13:G13 E14:E40 F37:F38 D14:D35">
    <cfRule type="iconSet" priority="359">
      <iconSet iconSet="3Symbols">
        <cfvo type="percent" val="0"/>
        <cfvo type="percent" val="33"/>
        <cfvo type="percent" val="67"/>
      </iconSet>
    </cfRule>
  </conditionalFormatting>
  <conditionalFormatting sqref="D40 F40:G40">
    <cfRule type="iconSet" priority="138">
      <iconSet iconSet="3Symbols">
        <cfvo type="percent" val="0"/>
        <cfvo type="percent" val="33"/>
        <cfvo type="percent" val="67"/>
      </iconSet>
    </cfRule>
  </conditionalFormatting>
  <conditionalFormatting sqref="D13:G40">
    <cfRule type="cellIs" dxfId="234" priority="139" stopIfTrue="1" operator="equal">
      <formula>"T"</formula>
    </cfRule>
  </conditionalFormatting>
  <conditionalFormatting sqref="D14:G40">
    <cfRule type="cellIs" dxfId="233" priority="141" operator="equal">
      <formula>"J"</formula>
    </cfRule>
  </conditionalFormatting>
  <conditionalFormatting sqref="G18">
    <cfRule type="cellIs" dxfId="232" priority="151" operator="equal">
      <formula>"T, t"</formula>
    </cfRule>
  </conditionalFormatting>
  <conditionalFormatting sqref="G37:G38">
    <cfRule type="iconSet" priority="18">
      <iconSet iconSet="3Symbols">
        <cfvo type="percent" val="0"/>
        <cfvo type="percent" val="33"/>
        <cfvo type="percent" val="67"/>
      </iconSet>
    </cfRule>
  </conditionalFormatting>
  <conditionalFormatting sqref="G38">
    <cfRule type="iconSet" priority="17">
      <iconSet iconSet="3Symbols">
        <cfvo type="percent" val="0"/>
        <cfvo type="percent" val="33"/>
        <cfvo type="percent" val="67"/>
      </iconSet>
    </cfRule>
  </conditionalFormatting>
  <conditionalFormatting sqref="H13:H40">
    <cfRule type="cellIs" dxfId="231" priority="21" stopIfTrue="1" operator="equal">
      <formula>"T"</formula>
    </cfRule>
    <cfRule type="cellIs" dxfId="230" priority="23" operator="equal">
      <formula>"J"</formula>
    </cfRule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H38">
    <cfRule type="cellIs" dxfId="229" priority="13" stopIfTrue="1" operator="equal">
      <formula>"T"</formula>
    </cfRule>
    <cfRule type="cellIs" dxfId="228" priority="15" operator="equal">
      <formula>"J"</formula>
    </cfRule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I11:I12 J12:N12 P12:T24 J13:L24 V13:Z24 M13:N40 Q14:Q25 F14:G24 AA11:AA12">
    <cfRule type="cellIs" dxfId="227" priority="153" operator="equal">
      <formula>"T"</formula>
    </cfRule>
  </conditionalFormatting>
  <conditionalFormatting sqref="J38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J17:K24">
    <cfRule type="cellIs" dxfId="226" priority="154" stopIfTrue="1" operator="equal">
      <formula>"J"</formula>
    </cfRule>
  </conditionalFormatting>
  <conditionalFormatting sqref="K38">
    <cfRule type="iconSet" priority="11">
      <iconSet iconSet="3Symbols">
        <cfvo type="percent" val="0"/>
        <cfvo type="percent" val="33"/>
        <cfvo type="percent" val="67"/>
      </iconSet>
    </cfRule>
  </conditionalFormatting>
  <conditionalFormatting sqref="L38">
    <cfRule type="iconSet" priority="10">
      <iconSet iconSet="3Symbols">
        <cfvo type="percent" val="0"/>
        <cfvo type="percent" val="33"/>
        <cfvo type="percent" val="67"/>
      </iconSet>
    </cfRule>
  </conditionalFormatting>
  <conditionalFormatting sqref="M38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N38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P25">
    <cfRule type="cellIs" dxfId="225" priority="119" operator="equal">
      <formula>"T"</formula>
    </cfRule>
  </conditionalFormatting>
  <conditionalFormatting sqref="P38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P13:T40 D11:Z12 J13:N40 V13:Z40 M46">
    <cfRule type="cellIs" dxfId="224" priority="148" stopIfTrue="1" operator="equal">
      <formula>"T"</formula>
    </cfRule>
  </conditionalFormatting>
  <conditionalFormatting sqref="Q12:Q40">
    <cfRule type="cellIs" dxfId="223" priority="71" operator="equal">
      <formula>"T"</formula>
    </cfRule>
  </conditionalFormatting>
  <conditionalFormatting sqref="Q3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R25:R40">
    <cfRule type="cellIs" dxfId="222" priority="396" operator="equal">
      <formula>"T"</formula>
    </cfRule>
  </conditionalFormatting>
  <conditionalFormatting sqref="R3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S25">
    <cfRule type="cellIs" dxfId="221" priority="56" operator="equal">
      <formula>"T"</formula>
    </cfRule>
  </conditionalFormatting>
  <conditionalFormatting sqref="S38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T25:T40">
    <cfRule type="cellIs" dxfId="220" priority="27" operator="equal">
      <formula>"T"</formula>
    </cfRule>
  </conditionalFormatting>
  <conditionalFormatting sqref="T38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T1048576">
    <cfRule type="cellIs" dxfId="219" priority="38" stopIfTrue="1" operator="equal">
      <formula>"T"</formula>
    </cfRule>
    <cfRule type="cellIs" dxfId="218" priority="40" operator="equal">
      <formula>"J"</formula>
    </cfRule>
    <cfRule type="cellIs" dxfId="217" priority="41" operator="equal">
      <formula>"T"</formula>
    </cfRule>
  </conditionalFormatting>
  <conditionalFormatting sqref="V13:Z40 I11:I12 E12:H12 J12:N40 P12:T40 M46 E13:G13">
    <cfRule type="cellIs" dxfId="216" priority="152" operator="equal">
      <formula>"J"</formula>
    </cfRule>
  </conditionalFormatting>
  <conditionalFormatting sqref="Z13">
    <cfRule type="cellIs" dxfId="215" priority="150" operator="equal">
      <formula>"J"</formula>
    </cfRule>
  </conditionalFormatting>
  <dataValidations count="1">
    <dataValidation type="list" allowBlank="1" showInputMessage="1" showErrorMessage="1" sqref="V13:Z40 J12:N40 T1048576 M46 P12:T40 D12:H40" xr:uid="{A013028C-AA9C-4AC5-85ED-8F2F7D23FFB6}">
      <formula1>$AK$13:$AK$17</formula1>
    </dataValidation>
  </dataValidations>
  <pageMargins left="0.7" right="0.7" top="0.75" bottom="0.75" header="0.3" footer="0.3"/>
  <pageSetup orientation="landscape" horizontalDpi="4294967293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7" id="{135B9093-EBED-4D52-8E1C-B778E83E7F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D12:D40 E38</xm:sqref>
        </x14:conditionalFormatting>
        <x14:conditionalFormatting xmlns:xm="http://schemas.microsoft.com/office/excel/2006/main">
          <x14:cfRule type="iconSet" priority="133" id="{BD0EAB1F-C203-4349-95DE-E5F0A46970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D36 F36:G36</xm:sqref>
        </x14:conditionalFormatting>
        <x14:conditionalFormatting xmlns:xm="http://schemas.microsoft.com/office/excel/2006/main">
          <x14:cfRule type="iconSet" priority="140" id="{417B74CE-BB6E-43E4-A514-84D207E1DD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D40 F40:G40</xm:sqref>
        </x14:conditionalFormatting>
        <x14:conditionalFormatting xmlns:xm="http://schemas.microsoft.com/office/excel/2006/main">
          <x14:cfRule type="iconSet" priority="297" id="{1D2CE652-9116-4CF8-BC83-F50136642F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D41:AA63 D25:D35 D37:D40 V25:Z40 F37:F38 F25:G35 F39:G40 H12:H40 E38:H38 J16:L40 P25:T40</xm:sqref>
        </x14:conditionalFormatting>
        <x14:conditionalFormatting xmlns:xm="http://schemas.microsoft.com/office/excel/2006/main">
          <x14:cfRule type="iconSet" priority="367" id="{1B616018-B274-4EEA-882C-D53410C800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F17:G24 F14:G14 G16 Z14:Z24 I11:I12 V13:Z13 J13:L24 M13:N40 Q14:Q25 J12:N12 P12:T13</xm:sqref>
        </x14:conditionalFormatting>
        <x14:conditionalFormatting xmlns:xm="http://schemas.microsoft.com/office/excel/2006/main">
          <x14:cfRule type="iconSet" priority="19" id="{C718078E-4C5C-4D1B-888B-6E23DD0C65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G37:G38</xm:sqref>
        </x14:conditionalFormatting>
        <x14:conditionalFormatting xmlns:xm="http://schemas.microsoft.com/office/excel/2006/main">
          <x14:cfRule type="iconSet" priority="22" id="{CEF1EEBA-D67C-4657-AE3E-20D6F48505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H13:H40</xm:sqref>
        </x14:conditionalFormatting>
        <x14:conditionalFormatting xmlns:xm="http://schemas.microsoft.com/office/excel/2006/main">
          <x14:cfRule type="iconSet" priority="14" id="{D527294E-01CF-4CEA-A60D-525AE85DEF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H38</xm:sqref>
        </x14:conditionalFormatting>
        <x14:conditionalFormatting xmlns:xm="http://schemas.microsoft.com/office/excel/2006/main">
          <x14:cfRule type="iconSet" priority="8" id="{6148AB98-0631-479C-A985-E2B6B120F9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M38</xm:sqref>
        </x14:conditionalFormatting>
        <x14:conditionalFormatting xmlns:xm="http://schemas.microsoft.com/office/excel/2006/main">
          <x14:cfRule type="iconSet" priority="149" id="{2144110B-7801-499C-A972-09437F11A6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M46 I11:I12 V13:Z40 E12:H12 E13:G13 E14:E40 F14:G39 J12:N40 P12:T40 D14:D39</xm:sqref>
        </x14:conditionalFormatting>
        <x14:conditionalFormatting xmlns:xm="http://schemas.microsoft.com/office/excel/2006/main">
          <x14:cfRule type="iconSet" priority="6" id="{D4730CCB-1A38-4980-B472-9D30C44E05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N38</xm:sqref>
        </x14:conditionalFormatting>
        <x14:conditionalFormatting xmlns:xm="http://schemas.microsoft.com/office/excel/2006/main">
          <x14:cfRule type="iconSet" priority="131" id="{DF30730A-3B0C-46C4-AFB3-75E2A42C09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P14</xm:sqref>
        </x14:conditionalFormatting>
        <x14:conditionalFormatting xmlns:xm="http://schemas.microsoft.com/office/excel/2006/main">
          <x14:cfRule type="iconSet" priority="130" id="{9A821EB2-EE53-464A-BB08-814B985601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P15</xm:sqref>
        </x14:conditionalFormatting>
        <x14:conditionalFormatting xmlns:xm="http://schemas.microsoft.com/office/excel/2006/main">
          <x14:cfRule type="iconSet" priority="129" id="{96535399-DAD3-4090-A0B2-B227B2489F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P16</xm:sqref>
        </x14:conditionalFormatting>
        <x14:conditionalFormatting xmlns:xm="http://schemas.microsoft.com/office/excel/2006/main">
          <x14:cfRule type="iconSet" priority="128" id="{765A6DE2-573E-4FE5-9470-03B42BECC9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P17</xm:sqref>
        </x14:conditionalFormatting>
        <x14:conditionalFormatting xmlns:xm="http://schemas.microsoft.com/office/excel/2006/main">
          <x14:cfRule type="iconSet" priority="127" id="{4409CEC4-862D-4BA0-A3D4-21203E1ECC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P18</xm:sqref>
        </x14:conditionalFormatting>
        <x14:conditionalFormatting xmlns:xm="http://schemas.microsoft.com/office/excel/2006/main">
          <x14:cfRule type="iconSet" priority="126" id="{0DF0F497-E011-45DA-A47E-FCD088F4BC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P19</xm:sqref>
        </x14:conditionalFormatting>
        <x14:conditionalFormatting xmlns:xm="http://schemas.microsoft.com/office/excel/2006/main">
          <x14:cfRule type="iconSet" priority="125" id="{29123580-1733-44FB-B241-A6361B02CF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P20</xm:sqref>
        </x14:conditionalFormatting>
        <x14:conditionalFormatting xmlns:xm="http://schemas.microsoft.com/office/excel/2006/main">
          <x14:cfRule type="iconSet" priority="124" id="{4A0D59DB-773B-4D66-816C-6C19A6FCE7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P21</xm:sqref>
        </x14:conditionalFormatting>
        <x14:conditionalFormatting xmlns:xm="http://schemas.microsoft.com/office/excel/2006/main">
          <x14:cfRule type="iconSet" priority="123" id="{CFB4DD0A-A8D1-44F3-B122-D719C2E4ED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P22</xm:sqref>
        </x14:conditionalFormatting>
        <x14:conditionalFormatting xmlns:xm="http://schemas.microsoft.com/office/excel/2006/main">
          <x14:cfRule type="iconSet" priority="122" id="{005C19C4-43CE-4122-81FE-7A0C79E955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P23</xm:sqref>
        </x14:conditionalFormatting>
        <x14:conditionalFormatting xmlns:xm="http://schemas.microsoft.com/office/excel/2006/main">
          <x14:cfRule type="iconSet" priority="121" id="{3B184019-638B-4B14-935F-467F5348A7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P24</xm:sqref>
        </x14:conditionalFormatting>
        <x14:conditionalFormatting xmlns:xm="http://schemas.microsoft.com/office/excel/2006/main">
          <x14:cfRule type="iconSet" priority="120" id="{CF78C66A-5F31-4851-B8AC-29DB962136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P25</xm:sqref>
        </x14:conditionalFormatting>
        <x14:conditionalFormatting xmlns:xm="http://schemas.microsoft.com/office/excel/2006/main">
          <x14:cfRule type="iconSet" priority="72" id="{56C5030B-DF51-451A-95E4-41EF28A2B7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3" id="{05EFC3BD-7ABC-46C0-A361-15DEBAF7CD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Q12:Q25</xm:sqref>
        </x14:conditionalFormatting>
        <x14:conditionalFormatting xmlns:xm="http://schemas.microsoft.com/office/excel/2006/main">
          <x14:cfRule type="iconSet" priority="118" id="{1CF1249B-0281-42AD-A424-2AC21A722B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Q26</xm:sqref>
        </x14:conditionalFormatting>
        <x14:conditionalFormatting xmlns:xm="http://schemas.microsoft.com/office/excel/2006/main">
          <x14:cfRule type="iconSet" priority="116" id="{952B553A-5967-48E9-B85E-C170349046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Q27</xm:sqref>
        </x14:conditionalFormatting>
        <x14:conditionalFormatting xmlns:xm="http://schemas.microsoft.com/office/excel/2006/main">
          <x14:cfRule type="iconSet" priority="114" id="{5378E1F1-8381-49DB-B854-E5FF26AF14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Q28</xm:sqref>
        </x14:conditionalFormatting>
        <x14:conditionalFormatting xmlns:xm="http://schemas.microsoft.com/office/excel/2006/main">
          <x14:cfRule type="iconSet" priority="112" id="{F56027BC-AA76-4893-B9A4-8B91614261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Q29</xm:sqref>
        </x14:conditionalFormatting>
        <x14:conditionalFormatting xmlns:xm="http://schemas.microsoft.com/office/excel/2006/main">
          <x14:cfRule type="iconSet" priority="110" id="{DD6FACC9-AAAB-4837-9EC3-E9E42BB678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Q30</xm:sqref>
        </x14:conditionalFormatting>
        <x14:conditionalFormatting xmlns:xm="http://schemas.microsoft.com/office/excel/2006/main">
          <x14:cfRule type="iconSet" priority="108" id="{428924B9-C4F9-4E36-B844-457F3BC4FB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Q31</xm:sqref>
        </x14:conditionalFormatting>
        <x14:conditionalFormatting xmlns:xm="http://schemas.microsoft.com/office/excel/2006/main">
          <x14:cfRule type="iconSet" priority="106" id="{80FC6685-6B61-4828-8AEC-BB2E99C27A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Q32</xm:sqref>
        </x14:conditionalFormatting>
        <x14:conditionalFormatting xmlns:xm="http://schemas.microsoft.com/office/excel/2006/main">
          <x14:cfRule type="iconSet" priority="104" id="{22EB28B5-60E5-45B6-9306-3B8C933ECB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Q33</xm:sqref>
        </x14:conditionalFormatting>
        <x14:conditionalFormatting xmlns:xm="http://schemas.microsoft.com/office/excel/2006/main">
          <x14:cfRule type="iconSet" priority="102" id="{2674C1F5-CF86-40BF-8BB8-FD9DF17049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Q34</xm:sqref>
        </x14:conditionalFormatting>
        <x14:conditionalFormatting xmlns:xm="http://schemas.microsoft.com/office/excel/2006/main">
          <x14:cfRule type="iconSet" priority="100" id="{C948004D-7D48-480B-AE1D-D2D28D18A1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Q35</xm:sqref>
        </x14:conditionalFormatting>
        <x14:conditionalFormatting xmlns:xm="http://schemas.microsoft.com/office/excel/2006/main">
          <x14:cfRule type="iconSet" priority="98" id="{25FBDA06-8087-47F8-8424-F79CB6BF21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Q36</xm:sqref>
        </x14:conditionalFormatting>
        <x14:conditionalFormatting xmlns:xm="http://schemas.microsoft.com/office/excel/2006/main">
          <x14:cfRule type="iconSet" priority="96" id="{6FA8400A-5B86-47C1-8358-BA262926A1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Q37:Q38</xm:sqref>
        </x14:conditionalFormatting>
        <x14:conditionalFormatting xmlns:xm="http://schemas.microsoft.com/office/excel/2006/main">
          <x14:cfRule type="iconSet" priority="94" id="{BEA57744-B388-42FE-8098-ADE41056F5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Q39</xm:sqref>
        </x14:conditionalFormatting>
        <x14:conditionalFormatting xmlns:xm="http://schemas.microsoft.com/office/excel/2006/main">
          <x14:cfRule type="iconSet" priority="92" id="{5228C97A-DBBA-44CF-B74D-80816D6CCA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Q40</xm:sqref>
        </x14:conditionalFormatting>
        <x14:conditionalFormatting xmlns:xm="http://schemas.microsoft.com/office/excel/2006/main">
          <x14:cfRule type="iconSet" priority="85" id="{88AD14CF-5A70-46B2-BE2B-102683AF7E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R15</xm:sqref>
        </x14:conditionalFormatting>
        <x14:conditionalFormatting xmlns:xm="http://schemas.microsoft.com/office/excel/2006/main">
          <x14:cfRule type="iconSet" priority="84" id="{1FD5A904-4A96-42BD-912F-D46491507C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</xm:sqref>
        </x14:conditionalFormatting>
        <x14:conditionalFormatting xmlns:xm="http://schemas.microsoft.com/office/excel/2006/main">
          <x14:cfRule type="iconSet" priority="83" id="{BB1EDFB1-293E-4701-8037-634B47C5E1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</xm:sqref>
        </x14:conditionalFormatting>
        <x14:conditionalFormatting xmlns:xm="http://schemas.microsoft.com/office/excel/2006/main">
          <x14:cfRule type="iconSet" priority="82" id="{13872CFA-553F-4FF1-B3A3-6493C13F4E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R18</xm:sqref>
        </x14:conditionalFormatting>
        <x14:conditionalFormatting xmlns:xm="http://schemas.microsoft.com/office/excel/2006/main">
          <x14:cfRule type="iconSet" priority="81" id="{C09D50FB-469F-4EBE-A7A7-97EA96404B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R19</xm:sqref>
        </x14:conditionalFormatting>
        <x14:conditionalFormatting xmlns:xm="http://schemas.microsoft.com/office/excel/2006/main">
          <x14:cfRule type="iconSet" priority="79" id="{D323B707-375E-494C-8CA6-8C6CA4E54E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0" id="{950F491C-F0BF-42B2-A769-7611C81FCD0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R20</xm:sqref>
        </x14:conditionalFormatting>
        <x14:conditionalFormatting xmlns:xm="http://schemas.microsoft.com/office/excel/2006/main">
          <x14:cfRule type="iconSet" priority="78" id="{829AB9BD-E48F-4D5B-8B95-BB159BB0A2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R21</xm:sqref>
        </x14:conditionalFormatting>
        <x14:conditionalFormatting xmlns:xm="http://schemas.microsoft.com/office/excel/2006/main">
          <x14:cfRule type="iconSet" priority="77" id="{C7308394-F483-42C0-A450-30B54D7924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R22</xm:sqref>
        </x14:conditionalFormatting>
        <x14:conditionalFormatting xmlns:xm="http://schemas.microsoft.com/office/excel/2006/main">
          <x14:cfRule type="iconSet" priority="76" id="{0F732B87-6E6F-4102-B71A-A6351DB225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R23</xm:sqref>
        </x14:conditionalFormatting>
        <x14:conditionalFormatting xmlns:xm="http://schemas.microsoft.com/office/excel/2006/main">
          <x14:cfRule type="iconSet" priority="397" id="{E5392582-1EDF-4240-97C8-E9AD367CB9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R25:R40</xm:sqref>
        </x14:conditionalFormatting>
        <x14:conditionalFormatting xmlns:xm="http://schemas.microsoft.com/office/excel/2006/main">
          <x14:cfRule type="iconSet" priority="67" id="{E889D354-7ECF-4970-A5DE-C064834FEB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S14</xm:sqref>
        </x14:conditionalFormatting>
        <x14:conditionalFormatting xmlns:xm="http://schemas.microsoft.com/office/excel/2006/main">
          <x14:cfRule type="iconSet" priority="66" id="{7704BA05-A4AE-483F-BC90-64C49552D9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S15</xm:sqref>
        </x14:conditionalFormatting>
        <x14:conditionalFormatting xmlns:xm="http://schemas.microsoft.com/office/excel/2006/main">
          <x14:cfRule type="iconSet" priority="65" id="{010DCF95-AB7B-4924-8207-E264CD2C8C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S16</xm:sqref>
        </x14:conditionalFormatting>
        <x14:conditionalFormatting xmlns:xm="http://schemas.microsoft.com/office/excel/2006/main">
          <x14:cfRule type="iconSet" priority="64" id="{95968611-6B06-4AC5-B541-CC088CB1EE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S17</xm:sqref>
        </x14:conditionalFormatting>
        <x14:conditionalFormatting xmlns:xm="http://schemas.microsoft.com/office/excel/2006/main">
          <x14:cfRule type="iconSet" priority="63" id="{0D888375-30DB-4096-BD6E-D090292A0F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S18</xm:sqref>
        </x14:conditionalFormatting>
        <x14:conditionalFormatting xmlns:xm="http://schemas.microsoft.com/office/excel/2006/main">
          <x14:cfRule type="iconSet" priority="62" id="{461F2F93-0DC1-402E-8943-210558B21D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S19</xm:sqref>
        </x14:conditionalFormatting>
        <x14:conditionalFormatting xmlns:xm="http://schemas.microsoft.com/office/excel/2006/main">
          <x14:cfRule type="iconSet" priority="61" id="{2A1C41FB-02A6-4F68-B61B-18BECD0491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S20</xm:sqref>
        </x14:conditionalFormatting>
        <x14:conditionalFormatting xmlns:xm="http://schemas.microsoft.com/office/excel/2006/main">
          <x14:cfRule type="iconSet" priority="60" id="{D805D9D4-5052-49BB-86F2-9D2441BF6D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S21</xm:sqref>
        </x14:conditionalFormatting>
        <x14:conditionalFormatting xmlns:xm="http://schemas.microsoft.com/office/excel/2006/main">
          <x14:cfRule type="iconSet" priority="59" id="{C902155B-7396-4A71-A76F-3E64415349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S22</xm:sqref>
        </x14:conditionalFormatting>
        <x14:conditionalFormatting xmlns:xm="http://schemas.microsoft.com/office/excel/2006/main">
          <x14:cfRule type="iconSet" priority="58" id="{9D41C0CB-7011-42F9-80B7-5ED865B05F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S23</xm:sqref>
        </x14:conditionalFormatting>
        <x14:conditionalFormatting xmlns:xm="http://schemas.microsoft.com/office/excel/2006/main">
          <x14:cfRule type="iconSet" priority="57" id="{64729ADA-EFCB-40CB-AFCA-59AB2A8410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S24:S25</xm:sqref>
        </x14:conditionalFormatting>
        <x14:conditionalFormatting xmlns:xm="http://schemas.microsoft.com/office/excel/2006/main">
          <x14:cfRule type="iconSet" priority="53" id="{BCB3D05E-F16F-420A-9F99-7ECD9571BB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T14</xm:sqref>
        </x14:conditionalFormatting>
        <x14:conditionalFormatting xmlns:xm="http://schemas.microsoft.com/office/excel/2006/main">
          <x14:cfRule type="iconSet" priority="52" id="{359AE4B9-4690-4E13-BC3A-EA4FD261CB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T15</xm:sqref>
        </x14:conditionalFormatting>
        <x14:conditionalFormatting xmlns:xm="http://schemas.microsoft.com/office/excel/2006/main">
          <x14:cfRule type="iconSet" priority="51" id="{400104E3-29E2-4529-8136-B967DE697D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T16</xm:sqref>
        </x14:conditionalFormatting>
        <x14:conditionalFormatting xmlns:xm="http://schemas.microsoft.com/office/excel/2006/main">
          <x14:cfRule type="iconSet" priority="50" id="{DFAC5808-FD81-4C1C-83FC-BADF6B74E0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T17</xm:sqref>
        </x14:conditionalFormatting>
        <x14:conditionalFormatting xmlns:xm="http://schemas.microsoft.com/office/excel/2006/main">
          <x14:cfRule type="iconSet" priority="49" id="{1951953D-FA3D-4736-B7EF-40636B7D45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T18</xm:sqref>
        </x14:conditionalFormatting>
        <x14:conditionalFormatting xmlns:xm="http://schemas.microsoft.com/office/excel/2006/main">
          <x14:cfRule type="iconSet" priority="48" id="{920B903B-969C-4F8E-991C-881A0ECB50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T19</xm:sqref>
        </x14:conditionalFormatting>
        <x14:conditionalFormatting xmlns:xm="http://schemas.microsoft.com/office/excel/2006/main">
          <x14:cfRule type="iconSet" priority="47" id="{9BA6532B-29E4-47C2-BCEE-BE23D63117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T20</xm:sqref>
        </x14:conditionalFormatting>
        <x14:conditionalFormatting xmlns:xm="http://schemas.microsoft.com/office/excel/2006/main">
          <x14:cfRule type="iconSet" priority="46" id="{030971D3-427D-4247-83CC-957AD05060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T21</xm:sqref>
        </x14:conditionalFormatting>
        <x14:conditionalFormatting xmlns:xm="http://schemas.microsoft.com/office/excel/2006/main">
          <x14:cfRule type="iconSet" priority="45" id="{DAF8063F-F43C-45DF-B6B0-B0BE8DC220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T22</xm:sqref>
        </x14:conditionalFormatting>
        <x14:conditionalFormatting xmlns:xm="http://schemas.microsoft.com/office/excel/2006/main">
          <x14:cfRule type="iconSet" priority="44" id="{2C52B57B-434E-41C9-921B-692BE02E9D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T23</xm:sqref>
        </x14:conditionalFormatting>
        <x14:conditionalFormatting xmlns:xm="http://schemas.microsoft.com/office/excel/2006/main">
          <x14:cfRule type="iconSet" priority="398" id="{97A221A1-59CD-499C-9EF7-7420CB43FB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T24:T40</xm:sqref>
        </x14:conditionalFormatting>
        <x14:conditionalFormatting xmlns:xm="http://schemas.microsoft.com/office/excel/2006/main">
          <x14:cfRule type="iconSet" priority="42" id="{5389FC6E-0814-4EE4-8053-9C3A539F84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40C7-486B-4924-8305-4E4A011CFAB6}">
  <sheetPr codeName="Hoja3"/>
  <dimension ref="A1:AP40"/>
  <sheetViews>
    <sheetView topLeftCell="C1" zoomScaleNormal="100" workbookViewId="0">
      <selection activeCell="AI11" sqref="AI11:AP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35" style="13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4" width="3.21875" customWidth="1"/>
    <col min="25" max="25" width="3.109375" customWidth="1"/>
    <col min="26" max="26" width="3.77734375" customWidth="1"/>
    <col min="27" max="27" width="11.77734375" customWidth="1"/>
    <col min="28" max="28" width="7.33203125" bestFit="1" customWidth="1"/>
    <col min="29" max="29" width="7" bestFit="1" customWidth="1"/>
    <col min="30" max="30" width="10" bestFit="1" customWidth="1"/>
    <col min="31" max="31" width="14.77734375" bestFit="1" customWidth="1"/>
    <col min="32" max="32" width="13.77734375" bestFit="1" customWidth="1"/>
  </cols>
  <sheetData>
    <row r="1" spans="1:42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8"/>
      <c r="AE1" s="65"/>
      <c r="AF1" s="65"/>
    </row>
    <row r="2" spans="1:42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48"/>
      <c r="AE2" s="65"/>
      <c r="AF2" s="65"/>
    </row>
    <row r="3" spans="1:42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48"/>
      <c r="AE3" s="65"/>
      <c r="AF3" s="65"/>
    </row>
    <row r="4" spans="1:42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49"/>
      <c r="AE4" s="65"/>
      <c r="AF4" s="65"/>
    </row>
    <row r="5" spans="1:42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49"/>
      <c r="AE5" s="65"/>
      <c r="AF5" s="65"/>
    </row>
    <row r="6" spans="1:42" x14ac:dyDescent="0.3">
      <c r="A6" s="59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49"/>
      <c r="AE6" s="65"/>
      <c r="AF6" s="65"/>
    </row>
    <row r="7" spans="1:42" x14ac:dyDescent="0.3">
      <c r="A7" s="59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49"/>
      <c r="AE7" s="65"/>
      <c r="AF7" s="65"/>
    </row>
    <row r="8" spans="1:42" x14ac:dyDescent="0.3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2"/>
    </row>
    <row r="9" spans="1:42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7"/>
      <c r="Z9" s="68"/>
      <c r="AA9" s="68"/>
      <c r="AB9" s="68"/>
      <c r="AC9" s="68"/>
      <c r="AD9" s="68"/>
      <c r="AE9" s="68"/>
      <c r="AF9" s="69"/>
    </row>
    <row r="10" spans="1:42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4"/>
      <c r="Z10" s="64"/>
      <c r="AA10" s="64" t="s">
        <v>22</v>
      </c>
      <c r="AB10" s="64"/>
      <c r="AC10" s="67"/>
      <c r="AD10" s="68"/>
      <c r="AE10" s="68"/>
      <c r="AF10" s="69"/>
    </row>
    <row r="11" spans="1:42" s="3" customFormat="1" x14ac:dyDescent="0.3">
      <c r="A11" s="1" t="s">
        <v>8</v>
      </c>
      <c r="B11" s="2" t="s">
        <v>7</v>
      </c>
      <c r="C11" s="11" t="s">
        <v>0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58"/>
      <c r="J11" s="1">
        <v>9</v>
      </c>
      <c r="K11" s="1">
        <v>10</v>
      </c>
      <c r="L11" s="1">
        <v>11</v>
      </c>
      <c r="M11" s="1">
        <v>12</v>
      </c>
      <c r="N11" s="1">
        <v>13</v>
      </c>
      <c r="O11" s="58"/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58"/>
      <c r="V11" s="1">
        <v>24</v>
      </c>
      <c r="W11" s="1">
        <v>25</v>
      </c>
      <c r="X11" s="1">
        <v>26</v>
      </c>
      <c r="Y11" s="1">
        <v>27</v>
      </c>
      <c r="Z11" s="58"/>
      <c r="AA11" s="1" t="s">
        <v>1</v>
      </c>
      <c r="AB11" s="1" t="s">
        <v>2</v>
      </c>
      <c r="AC11" s="1" t="s">
        <v>3</v>
      </c>
      <c r="AD11" s="1" t="s">
        <v>52</v>
      </c>
      <c r="AE11" s="1" t="s">
        <v>4</v>
      </c>
      <c r="AF11" s="1" t="s">
        <v>5</v>
      </c>
      <c r="AI11" s="55" t="s">
        <v>9</v>
      </c>
      <c r="AJ11" s="56"/>
      <c r="AK11" s="56"/>
      <c r="AL11" s="56"/>
      <c r="AM11" s="56"/>
      <c r="AN11" s="56"/>
      <c r="AO11" s="56"/>
      <c r="AP11" s="57"/>
    </row>
    <row r="12" spans="1:42" s="3" customFormat="1" x14ac:dyDescent="0.3">
      <c r="A12" s="51">
        <v>1</v>
      </c>
      <c r="B12" s="9">
        <v>6</v>
      </c>
      <c r="C12" s="12" t="s">
        <v>55</v>
      </c>
      <c r="D12" s="1">
        <v>1</v>
      </c>
      <c r="E12" s="1">
        <v>1</v>
      </c>
      <c r="F12" s="1">
        <v>1</v>
      </c>
      <c r="G12" s="1"/>
      <c r="H12" s="1"/>
      <c r="I12" s="59"/>
      <c r="J12" s="1"/>
      <c r="K12" s="1"/>
      <c r="L12" s="1"/>
      <c r="M12" s="1"/>
      <c r="N12" s="1"/>
      <c r="O12" s="59"/>
      <c r="P12" s="1"/>
      <c r="Q12" s="1"/>
      <c r="R12" s="1"/>
      <c r="S12" s="1"/>
      <c r="T12" s="1"/>
      <c r="U12" s="59"/>
      <c r="V12" s="1"/>
      <c r="W12" s="1"/>
      <c r="X12" s="1"/>
      <c r="Y12" s="1"/>
      <c r="Z12" s="59"/>
      <c r="AA12" s="4" cm="1">
        <f t="array" ref="AA12">COUNTIF(D12:Y12,1)+COUNTIF(D12:Y12,_xleta.T)+COUNTIF(D12:Y12,U)+COUNTIF(D12:Y12,J)</f>
        <v>3</v>
      </c>
      <c r="AB12" s="4">
        <f t="shared" ref="AB12:AB36" si="0">COUNTIF(D12:Y12,0)</f>
        <v>0</v>
      </c>
      <c r="AC12" s="4">
        <f t="shared" ref="AC12:AC36" si="1">COUNTIF(D12:Y12,"T")</f>
        <v>0</v>
      </c>
      <c r="AD12" s="4">
        <f>COUNTIF(D12:Y12,"U")</f>
        <v>0</v>
      </c>
      <c r="AE12" s="4">
        <f t="shared" ref="AE12:AE36" si="2">COUNTIF(D12:Y12,"J")</f>
        <v>0</v>
      </c>
      <c r="AF12" s="10">
        <f>SUM(AA12)/COUNTA($D$11:$H$11,$J$11:$N$11,$P$11:$T$11,$V$11:$Y$11)</f>
        <v>0.15789473684210525</v>
      </c>
      <c r="AI12" s="17"/>
      <c r="AJ12" s="14">
        <v>1</v>
      </c>
      <c r="AK12" s="3" t="s">
        <v>10</v>
      </c>
      <c r="AL12" s="8"/>
      <c r="AM12" s="8"/>
      <c r="AP12" s="18"/>
    </row>
    <row r="13" spans="1:42" s="3" customFormat="1" x14ac:dyDescent="0.3">
      <c r="A13" s="51">
        <v>2</v>
      </c>
      <c r="B13" s="9">
        <f>Enero!B13</f>
        <v>6</v>
      </c>
      <c r="C13" s="12" t="str">
        <f>Enero!C13</f>
        <v>Dávila Bedoya Kevin Alejandro</v>
      </c>
      <c r="D13" s="1">
        <v>1</v>
      </c>
      <c r="E13" s="1">
        <v>1</v>
      </c>
      <c r="F13" s="1" t="s">
        <v>50</v>
      </c>
      <c r="G13" s="1"/>
      <c r="H13" s="1"/>
      <c r="I13" s="59"/>
      <c r="J13" s="1"/>
      <c r="K13" s="1"/>
      <c r="L13" s="1"/>
      <c r="M13" s="1"/>
      <c r="N13" s="1"/>
      <c r="O13" s="59"/>
      <c r="P13" s="1"/>
      <c r="Q13" s="1"/>
      <c r="R13" s="1"/>
      <c r="S13" s="1"/>
      <c r="T13" s="1"/>
      <c r="U13" s="59"/>
      <c r="V13" s="1"/>
      <c r="W13" s="1"/>
      <c r="X13" s="1"/>
      <c r="Y13" s="1"/>
      <c r="Z13" s="59"/>
      <c r="AA13" s="4" cm="1">
        <f t="array" ref="AA13">COUNTIF(D13:Y13,1)+COUNTIF(D13:Y13,_xleta.T)+COUNTIF(D13:Y13,U)+COUNTIF(D13:Y13,J)</f>
        <v>2</v>
      </c>
      <c r="AB13" s="4">
        <f t="shared" si="0"/>
        <v>0</v>
      </c>
      <c r="AC13" s="4">
        <f t="shared" si="1"/>
        <v>0</v>
      </c>
      <c r="AD13" s="4">
        <f t="shared" ref="AD13:AD36" si="3">COUNTIF(D13:Y13,"U")</f>
        <v>1</v>
      </c>
      <c r="AE13" s="4">
        <f t="shared" si="2"/>
        <v>0</v>
      </c>
      <c r="AF13" s="10">
        <f t="shared" ref="AF13:AF36" si="4">SUM(AA13)/COUNTA($D$11:$H$11,$J$11:$N$11,$P$11:$T$11,$V$11:$Y$11)</f>
        <v>0.10526315789473684</v>
      </c>
      <c r="AI13" s="17"/>
      <c r="AJ13" s="15">
        <v>0</v>
      </c>
      <c r="AK13" s="3" t="s">
        <v>14</v>
      </c>
      <c r="AP13" s="18"/>
    </row>
    <row r="14" spans="1:42" s="3" customFormat="1" x14ac:dyDescent="0.3">
      <c r="A14" s="51">
        <v>3</v>
      </c>
      <c r="B14" s="9">
        <f>Enero!B14</f>
        <v>6</v>
      </c>
      <c r="C14" s="12" t="str">
        <f>Enero!C14</f>
        <v>Franco Barraza Maria Jose</v>
      </c>
      <c r="D14" s="1">
        <v>1</v>
      </c>
      <c r="E14" s="1">
        <v>1</v>
      </c>
      <c r="F14" s="4">
        <v>1</v>
      </c>
      <c r="G14" s="4"/>
      <c r="H14" s="1"/>
      <c r="I14" s="59"/>
      <c r="J14" s="1"/>
      <c r="K14" s="1"/>
      <c r="L14" s="1"/>
      <c r="M14" s="1"/>
      <c r="N14" s="1"/>
      <c r="O14" s="59"/>
      <c r="P14" s="1"/>
      <c r="Q14" s="1"/>
      <c r="R14" s="1"/>
      <c r="S14" s="1"/>
      <c r="T14" s="1"/>
      <c r="U14" s="59"/>
      <c r="V14" s="1"/>
      <c r="W14" s="1"/>
      <c r="X14" s="1"/>
      <c r="Y14" s="1"/>
      <c r="Z14" s="59"/>
      <c r="AA14" s="4" cm="1">
        <f t="array" ref="AA14">COUNTIF(D14:Y14,1)+COUNTIF(D14:Y14,_xleta.T)+COUNTIF(D14:Y14,U)+COUNTIF(D14:Y14,J)</f>
        <v>3</v>
      </c>
      <c r="AB14" s="4">
        <f t="shared" si="0"/>
        <v>0</v>
      </c>
      <c r="AC14" s="4">
        <f t="shared" si="1"/>
        <v>0</v>
      </c>
      <c r="AD14" s="4">
        <f t="shared" si="3"/>
        <v>0</v>
      </c>
      <c r="AE14" s="4">
        <f t="shared" si="2"/>
        <v>0</v>
      </c>
      <c r="AF14" s="10">
        <f t="shared" si="4"/>
        <v>0.15789473684210525</v>
      </c>
      <c r="AI14" s="17"/>
      <c r="AJ14" s="16" t="s">
        <v>11</v>
      </c>
      <c r="AK14" s="3" t="s">
        <v>12</v>
      </c>
      <c r="AP14" s="18"/>
    </row>
    <row r="15" spans="1:42" ht="15" thickBot="1" x14ac:dyDescent="0.35">
      <c r="A15" s="51">
        <v>4</v>
      </c>
      <c r="B15" s="9">
        <f>Enero!B15</f>
        <v>6</v>
      </c>
      <c r="C15" s="12" t="str">
        <f>Enero!C15</f>
        <v>Vera Figuera Branyelis Del Carmen</v>
      </c>
      <c r="D15" s="1">
        <v>1</v>
      </c>
      <c r="E15" s="1">
        <v>1</v>
      </c>
      <c r="F15" s="4"/>
      <c r="G15" s="4"/>
      <c r="H15" s="4"/>
      <c r="I15" s="59"/>
      <c r="J15" s="4"/>
      <c r="K15" s="4"/>
      <c r="L15" s="4"/>
      <c r="M15" s="1"/>
      <c r="N15" s="1"/>
      <c r="O15" s="59"/>
      <c r="P15" s="1"/>
      <c r="Q15" s="1"/>
      <c r="R15" s="1"/>
      <c r="S15" s="1"/>
      <c r="T15" s="1"/>
      <c r="U15" s="59"/>
      <c r="V15" s="1"/>
      <c r="W15" s="1"/>
      <c r="X15" s="1"/>
      <c r="Y15" s="1"/>
      <c r="Z15" s="59"/>
      <c r="AA15" s="4" cm="1">
        <f t="array" ref="AA15">COUNTIF(D15:Y15,1)+COUNTIF(D15:Y15,_xleta.T)+COUNTIF(D15:Y15,U)+COUNTIF(D15:Y15,J)</f>
        <v>2</v>
      </c>
      <c r="AB15" s="4">
        <f t="shared" si="0"/>
        <v>0</v>
      </c>
      <c r="AC15" s="4">
        <f t="shared" si="1"/>
        <v>0</v>
      </c>
      <c r="AD15" s="4">
        <f t="shared" si="3"/>
        <v>0</v>
      </c>
      <c r="AE15" s="4">
        <f t="shared" si="2"/>
        <v>0</v>
      </c>
      <c r="AF15" s="10">
        <f t="shared" si="4"/>
        <v>0.10526315789473684</v>
      </c>
      <c r="AI15" s="19"/>
      <c r="AJ15" s="20" t="s">
        <v>6</v>
      </c>
      <c r="AK15" s="21" t="s">
        <v>13</v>
      </c>
      <c r="AL15" s="22"/>
      <c r="AM15" s="22"/>
      <c r="AN15" s="22"/>
      <c r="AO15" s="22"/>
      <c r="AP15" s="23"/>
    </row>
    <row r="16" spans="1:42" x14ac:dyDescent="0.3">
      <c r="A16" s="51">
        <v>5</v>
      </c>
      <c r="B16" s="9">
        <f>Enero!B16</f>
        <v>7</v>
      </c>
      <c r="C16" s="12" t="str">
        <f>Enero!C16</f>
        <v>Adrianza Figuera Brainer Josué</v>
      </c>
      <c r="D16" s="1">
        <v>1</v>
      </c>
      <c r="E16" s="1">
        <v>1</v>
      </c>
      <c r="F16" s="4"/>
      <c r="G16" s="4"/>
      <c r="H16" s="4"/>
      <c r="I16" s="59"/>
      <c r="J16" s="4"/>
      <c r="K16" s="4"/>
      <c r="L16" s="4"/>
      <c r="M16" s="1"/>
      <c r="N16" s="1"/>
      <c r="O16" s="59"/>
      <c r="P16" s="1"/>
      <c r="Q16" s="1"/>
      <c r="R16" s="1"/>
      <c r="S16" s="1"/>
      <c r="T16" s="1"/>
      <c r="U16" s="59"/>
      <c r="V16" s="1"/>
      <c r="W16" s="1"/>
      <c r="X16" s="1"/>
      <c r="Y16" s="1"/>
      <c r="Z16" s="59"/>
      <c r="AA16" s="4" cm="1">
        <f t="array" ref="AA16">COUNTIF(D16:Y16,1)+COUNTIF(D16:Y16,_xleta.T)+COUNTIF(D16:Y16,U)+COUNTIF(D16:Y16,J)</f>
        <v>2</v>
      </c>
      <c r="AB16" s="4">
        <f t="shared" si="0"/>
        <v>0</v>
      </c>
      <c r="AC16" s="4">
        <f t="shared" si="1"/>
        <v>0</v>
      </c>
      <c r="AD16" s="4">
        <f t="shared" si="3"/>
        <v>0</v>
      </c>
      <c r="AE16" s="4">
        <f t="shared" si="2"/>
        <v>0</v>
      </c>
      <c r="AF16" s="10">
        <f t="shared" si="4"/>
        <v>0.10526315789473684</v>
      </c>
      <c r="AJ16" t="s">
        <v>50</v>
      </c>
      <c r="AK16" s="3" t="s">
        <v>51</v>
      </c>
    </row>
    <row r="17" spans="1:40" x14ac:dyDescent="0.3">
      <c r="A17" s="51">
        <v>6</v>
      </c>
      <c r="B17" s="9">
        <f>Enero!B17</f>
        <v>7</v>
      </c>
      <c r="C17" s="12" t="str">
        <f>Enero!C17</f>
        <v>Chavarría Valencia Dylan Alexis</v>
      </c>
      <c r="D17" s="1">
        <v>1</v>
      </c>
      <c r="E17" s="1">
        <v>1</v>
      </c>
      <c r="F17" s="4"/>
      <c r="G17" s="4"/>
      <c r="H17" s="4"/>
      <c r="I17" s="59"/>
      <c r="J17" s="4"/>
      <c r="K17" s="4"/>
      <c r="L17" s="4"/>
      <c r="M17" s="1"/>
      <c r="N17" s="1"/>
      <c r="O17" s="59"/>
      <c r="P17" s="1"/>
      <c r="Q17" s="1"/>
      <c r="R17" s="1"/>
      <c r="S17" s="1"/>
      <c r="T17" s="1"/>
      <c r="U17" s="59"/>
      <c r="V17" s="1"/>
      <c r="W17" s="1"/>
      <c r="X17" s="1"/>
      <c r="Y17" s="1"/>
      <c r="Z17" s="59"/>
      <c r="AA17" s="4" cm="1">
        <f t="array" ref="AA17">COUNTIF(D17:Y17,1)+COUNTIF(D17:Y17,_xleta.T)+COUNTIF(D17:Y17,U)+COUNTIF(D17:Y17,J)</f>
        <v>2</v>
      </c>
      <c r="AB17" s="4">
        <f t="shared" si="0"/>
        <v>0</v>
      </c>
      <c r="AC17" s="4">
        <f t="shared" si="1"/>
        <v>0</v>
      </c>
      <c r="AD17" s="4">
        <f t="shared" si="3"/>
        <v>0</v>
      </c>
      <c r="AE17" s="4">
        <f t="shared" si="2"/>
        <v>0</v>
      </c>
      <c r="AF17" s="10">
        <f t="shared" si="4"/>
        <v>0.10526315789473684</v>
      </c>
    </row>
    <row r="18" spans="1:40" x14ac:dyDescent="0.3">
      <c r="A18" s="51">
        <v>7</v>
      </c>
      <c r="B18" s="9">
        <f>Enero!B18</f>
        <v>7</v>
      </c>
      <c r="C18" s="12" t="str">
        <f>Enero!C18</f>
        <v>Giraldo Ceballos Miguel Angel</v>
      </c>
      <c r="D18" s="1" t="s">
        <v>6</v>
      </c>
      <c r="E18" s="1" t="s">
        <v>6</v>
      </c>
      <c r="F18" s="4"/>
      <c r="G18" s="4"/>
      <c r="H18" s="4"/>
      <c r="I18" s="59"/>
      <c r="J18" s="4"/>
      <c r="K18" s="4"/>
      <c r="L18" s="4"/>
      <c r="M18" s="1"/>
      <c r="N18" s="1"/>
      <c r="O18" s="59"/>
      <c r="P18" s="1"/>
      <c r="Q18" s="1"/>
      <c r="R18" s="1"/>
      <c r="S18" s="1"/>
      <c r="T18" s="1"/>
      <c r="U18" s="59"/>
      <c r="V18" s="1"/>
      <c r="W18" s="1"/>
      <c r="X18" s="1"/>
      <c r="Y18" s="1"/>
      <c r="Z18" s="59"/>
      <c r="AA18" s="4" cm="1">
        <f t="array" ref="AA18">COUNTIF(D18:Y18,1)+COUNTIF(D18:Y18,_xleta.T)+COUNTIF(D18:Y18,U)+COUNTIF(D18:Y18,J)</f>
        <v>0</v>
      </c>
      <c r="AB18" s="4">
        <f t="shared" si="0"/>
        <v>0</v>
      </c>
      <c r="AC18" s="4">
        <f t="shared" si="1"/>
        <v>0</v>
      </c>
      <c r="AD18" s="4">
        <f t="shared" si="3"/>
        <v>0</v>
      </c>
      <c r="AE18" s="4">
        <f t="shared" si="2"/>
        <v>2</v>
      </c>
      <c r="AF18" s="10">
        <f t="shared" si="4"/>
        <v>0</v>
      </c>
      <c r="AK18" s="8"/>
      <c r="AM18" s="3"/>
      <c r="AN18" s="3"/>
    </row>
    <row r="19" spans="1:40" x14ac:dyDescent="0.3">
      <c r="A19" s="51">
        <v>8</v>
      </c>
      <c r="B19" s="9">
        <f>Enero!B19</f>
        <v>7</v>
      </c>
      <c r="C19" s="12" t="str">
        <f>Enero!C19</f>
        <v>Hincapié Muñoz Juan Pablo</v>
      </c>
      <c r="D19" s="1">
        <v>1</v>
      </c>
      <c r="E19" s="1">
        <v>1</v>
      </c>
      <c r="F19" s="4"/>
      <c r="G19" s="4"/>
      <c r="H19" s="4"/>
      <c r="I19" s="59"/>
      <c r="J19" s="4"/>
      <c r="K19" s="4"/>
      <c r="L19" s="4"/>
      <c r="M19" s="1"/>
      <c r="N19" s="1"/>
      <c r="O19" s="59"/>
      <c r="P19" s="1"/>
      <c r="Q19" s="1"/>
      <c r="R19" s="1"/>
      <c r="S19" s="1"/>
      <c r="T19" s="1"/>
      <c r="U19" s="59"/>
      <c r="V19" s="1"/>
      <c r="W19" s="1"/>
      <c r="X19" s="1"/>
      <c r="Y19" s="1"/>
      <c r="Z19" s="59"/>
      <c r="AA19" s="4" cm="1">
        <f t="array" ref="AA19">COUNTIF(D19:Y19,1)+COUNTIF(D19:Y19,_xleta.T)+COUNTIF(D19:Y19,U)+COUNTIF(D19:Y19,J)</f>
        <v>2</v>
      </c>
      <c r="AB19" s="4">
        <f t="shared" si="0"/>
        <v>0</v>
      </c>
      <c r="AC19" s="4">
        <f t="shared" si="1"/>
        <v>0</v>
      </c>
      <c r="AD19" s="4">
        <f t="shared" si="3"/>
        <v>0</v>
      </c>
      <c r="AE19" s="4">
        <f t="shared" si="2"/>
        <v>0</v>
      </c>
      <c r="AF19" s="10">
        <f t="shared" si="4"/>
        <v>0.10526315789473684</v>
      </c>
      <c r="AK19" s="8"/>
    </row>
    <row r="20" spans="1:40" x14ac:dyDescent="0.3">
      <c r="A20" s="51">
        <v>9</v>
      </c>
      <c r="B20" s="9">
        <f>Enero!B20</f>
        <v>7</v>
      </c>
      <c r="C20" s="12" t="str">
        <f>Enero!C20</f>
        <v>Jiménez Muñoz Alejandro</v>
      </c>
      <c r="D20" s="1">
        <v>1</v>
      </c>
      <c r="E20" s="1">
        <v>1</v>
      </c>
      <c r="F20" s="4"/>
      <c r="G20" s="4"/>
      <c r="H20" s="4"/>
      <c r="I20" s="59"/>
      <c r="J20" s="4"/>
      <c r="K20" s="4"/>
      <c r="L20" s="4"/>
      <c r="M20" s="1"/>
      <c r="N20" s="1"/>
      <c r="O20" s="59"/>
      <c r="P20" s="1"/>
      <c r="Q20" s="1"/>
      <c r="R20" s="1"/>
      <c r="S20" s="1"/>
      <c r="T20" s="1"/>
      <c r="U20" s="59"/>
      <c r="V20" s="1"/>
      <c r="W20" s="1"/>
      <c r="X20" s="1"/>
      <c r="Y20" s="1"/>
      <c r="Z20" s="59"/>
      <c r="AA20" s="4" cm="1">
        <f t="array" ref="AA20">COUNTIF(D20:Y20,1)+COUNTIF(D20:Y20,_xleta.T)+COUNTIF(D20:Y20,U)+COUNTIF(D20:Y20,J)</f>
        <v>2</v>
      </c>
      <c r="AB20" s="4">
        <f t="shared" si="0"/>
        <v>0</v>
      </c>
      <c r="AC20" s="4">
        <f t="shared" si="1"/>
        <v>0</v>
      </c>
      <c r="AD20" s="4">
        <f t="shared" si="3"/>
        <v>0</v>
      </c>
      <c r="AE20" s="4">
        <f t="shared" si="2"/>
        <v>0</v>
      </c>
      <c r="AF20" s="10">
        <f t="shared" si="4"/>
        <v>0.10526315789473684</v>
      </c>
      <c r="AK20" s="8"/>
      <c r="AL20" s="3"/>
      <c r="AM20" s="3"/>
      <c r="AN20" s="3"/>
    </row>
    <row r="21" spans="1:40" x14ac:dyDescent="0.3">
      <c r="A21" s="51">
        <v>10</v>
      </c>
      <c r="B21" s="9">
        <f>Enero!B21</f>
        <v>7</v>
      </c>
      <c r="C21" s="12" t="str">
        <f>Enero!C21</f>
        <v>Rodríguez Correa Dubian Esteban</v>
      </c>
      <c r="D21" s="1">
        <v>1</v>
      </c>
      <c r="E21" s="1">
        <v>1</v>
      </c>
      <c r="F21" s="4"/>
      <c r="G21" s="4"/>
      <c r="H21" s="4"/>
      <c r="I21" s="59"/>
      <c r="J21" s="4"/>
      <c r="K21" s="4"/>
      <c r="L21" s="4"/>
      <c r="M21" s="1"/>
      <c r="N21" s="1"/>
      <c r="O21" s="59"/>
      <c r="P21" s="1"/>
      <c r="Q21" s="1"/>
      <c r="R21" s="1"/>
      <c r="S21" s="1"/>
      <c r="T21" s="1"/>
      <c r="U21" s="59"/>
      <c r="V21" s="1"/>
      <c r="W21" s="1"/>
      <c r="X21" s="1"/>
      <c r="Y21" s="1"/>
      <c r="Z21" s="59"/>
      <c r="AA21" s="4" cm="1">
        <f t="array" ref="AA21">COUNTIF(D21:Y21,1)+COUNTIF(D21:Y21,_xleta.T)+COUNTIF(D21:Y21,U)+COUNTIF(D21:Y21,J)</f>
        <v>2</v>
      </c>
      <c r="AB21" s="4">
        <f t="shared" si="0"/>
        <v>0</v>
      </c>
      <c r="AC21" s="4">
        <f t="shared" si="1"/>
        <v>0</v>
      </c>
      <c r="AD21" s="4">
        <f t="shared" si="3"/>
        <v>0</v>
      </c>
      <c r="AE21" s="4">
        <f t="shared" si="2"/>
        <v>0</v>
      </c>
      <c r="AF21" s="10">
        <f t="shared" si="4"/>
        <v>0.10526315789473684</v>
      </c>
      <c r="AK21" s="7"/>
    </row>
    <row r="22" spans="1:40" x14ac:dyDescent="0.3">
      <c r="A22" s="51">
        <v>11</v>
      </c>
      <c r="B22" s="9">
        <f>Enero!B22</f>
        <v>7</v>
      </c>
      <c r="C22" s="12" t="str">
        <f>Enero!C22</f>
        <v>Valencia Virgen Alexandra</v>
      </c>
      <c r="D22" s="1">
        <v>1</v>
      </c>
      <c r="E22" s="1">
        <v>1</v>
      </c>
      <c r="F22" s="4"/>
      <c r="G22" s="4"/>
      <c r="H22" s="4"/>
      <c r="I22" s="59"/>
      <c r="J22" s="4"/>
      <c r="K22" s="4"/>
      <c r="L22" s="4"/>
      <c r="M22" s="1"/>
      <c r="N22" s="1"/>
      <c r="O22" s="59"/>
      <c r="P22" s="1"/>
      <c r="Q22" s="1"/>
      <c r="R22" s="1"/>
      <c r="S22" s="1"/>
      <c r="T22" s="1"/>
      <c r="U22" s="59"/>
      <c r="V22" s="1"/>
      <c r="W22" s="1"/>
      <c r="X22" s="1"/>
      <c r="Y22" s="1"/>
      <c r="Z22" s="59"/>
      <c r="AA22" s="4" cm="1">
        <f t="array" ref="AA22">COUNTIF(D22:Y22,1)+COUNTIF(D22:Y22,_xleta.T)+COUNTIF(D22:Y22,U)+COUNTIF(D22:Y22,J)</f>
        <v>2</v>
      </c>
      <c r="AB22" s="4">
        <f t="shared" si="0"/>
        <v>0</v>
      </c>
      <c r="AC22" s="4">
        <f t="shared" si="1"/>
        <v>0</v>
      </c>
      <c r="AD22" s="4">
        <f t="shared" si="3"/>
        <v>0</v>
      </c>
      <c r="AE22" s="4">
        <f t="shared" si="2"/>
        <v>0</v>
      </c>
      <c r="AF22" s="10">
        <f t="shared" si="4"/>
        <v>0.10526315789473684</v>
      </c>
    </row>
    <row r="23" spans="1:40" x14ac:dyDescent="0.3">
      <c r="A23" s="51">
        <v>12</v>
      </c>
      <c r="B23" s="9">
        <f>Enero!B23</f>
        <v>8</v>
      </c>
      <c r="C23" s="12" t="str">
        <f>Enero!C23</f>
        <v>Caviedes Hernández Juan Manuel</v>
      </c>
      <c r="D23" s="1">
        <v>1</v>
      </c>
      <c r="E23" s="1">
        <v>1</v>
      </c>
      <c r="F23" s="4"/>
      <c r="G23" s="4"/>
      <c r="H23" s="4"/>
      <c r="I23" s="59"/>
      <c r="J23" s="4"/>
      <c r="K23" s="4"/>
      <c r="L23" s="4"/>
      <c r="M23" s="1"/>
      <c r="N23" s="1"/>
      <c r="O23" s="59"/>
      <c r="P23" s="1"/>
      <c r="Q23" s="1"/>
      <c r="R23" s="1"/>
      <c r="S23" s="1"/>
      <c r="T23" s="1"/>
      <c r="U23" s="59"/>
      <c r="V23" s="1"/>
      <c r="W23" s="1"/>
      <c r="X23" s="1"/>
      <c r="Y23" s="1"/>
      <c r="Z23" s="59"/>
      <c r="AA23" s="4" cm="1">
        <f t="array" ref="AA23">COUNTIF(D23:Y23,1)+COUNTIF(D23:Y23,_xleta.T)+COUNTIF(D23:Y23,U)+COUNTIF(D23:Y23,J)</f>
        <v>2</v>
      </c>
      <c r="AB23" s="4">
        <f t="shared" si="0"/>
        <v>0</v>
      </c>
      <c r="AC23" s="4">
        <f t="shared" si="1"/>
        <v>0</v>
      </c>
      <c r="AD23" s="4">
        <f t="shared" si="3"/>
        <v>0</v>
      </c>
      <c r="AE23" s="4">
        <f t="shared" si="2"/>
        <v>0</v>
      </c>
      <c r="AF23" s="10">
        <f t="shared" si="4"/>
        <v>0.10526315789473684</v>
      </c>
    </row>
    <row r="24" spans="1:40" x14ac:dyDescent="0.3">
      <c r="A24" s="51">
        <v>13</v>
      </c>
      <c r="B24" s="9">
        <f>Enero!B24</f>
        <v>8</v>
      </c>
      <c r="C24" s="12" t="str">
        <f>Enero!C24</f>
        <v>Orozco Chavarría Cristóbal</v>
      </c>
      <c r="D24" s="1" t="s">
        <v>6</v>
      </c>
      <c r="E24" s="1" t="s">
        <v>6</v>
      </c>
      <c r="F24" s="4"/>
      <c r="G24" s="4"/>
      <c r="H24" s="4"/>
      <c r="I24" s="59"/>
      <c r="J24" s="4"/>
      <c r="K24" s="4"/>
      <c r="L24" s="4"/>
      <c r="M24" s="4"/>
      <c r="N24" s="4"/>
      <c r="O24" s="59"/>
      <c r="P24" s="4"/>
      <c r="Q24" s="4"/>
      <c r="R24" s="4"/>
      <c r="S24" s="4"/>
      <c r="T24" s="4"/>
      <c r="U24" s="59"/>
      <c r="V24" s="4"/>
      <c r="W24" s="4"/>
      <c r="X24" s="4"/>
      <c r="Y24" s="4"/>
      <c r="Z24" s="59"/>
      <c r="AA24" s="4" cm="1">
        <f t="array" ref="AA24">COUNTIF(D24:Y24,1)+COUNTIF(D24:Y24,_xleta.T)+COUNTIF(D24:Y24,U)+COUNTIF(D24:Y24,J)</f>
        <v>0</v>
      </c>
      <c r="AB24" s="4">
        <f t="shared" si="0"/>
        <v>0</v>
      </c>
      <c r="AC24" s="4">
        <f t="shared" si="1"/>
        <v>0</v>
      </c>
      <c r="AD24" s="4">
        <f t="shared" si="3"/>
        <v>0</v>
      </c>
      <c r="AE24" s="4">
        <f t="shared" si="2"/>
        <v>2</v>
      </c>
      <c r="AF24" s="10">
        <f t="shared" si="4"/>
        <v>0</v>
      </c>
    </row>
    <row r="25" spans="1:40" x14ac:dyDescent="0.3">
      <c r="A25" s="51">
        <v>14</v>
      </c>
      <c r="B25" s="9">
        <f>Enero!B25</f>
        <v>8</v>
      </c>
      <c r="C25" s="12" t="str">
        <f>Enero!C25</f>
        <v>Velásquez Muñoz Anyely Tatiana</v>
      </c>
      <c r="D25" s="4">
        <v>0</v>
      </c>
      <c r="E25" s="4">
        <v>1</v>
      </c>
      <c r="F25" s="4"/>
      <c r="G25" s="4"/>
      <c r="H25" s="4"/>
      <c r="I25" s="59"/>
      <c r="J25" s="4"/>
      <c r="K25" s="4"/>
      <c r="L25" s="4"/>
      <c r="M25" s="4"/>
      <c r="N25" s="4"/>
      <c r="O25" s="59"/>
      <c r="P25" s="4"/>
      <c r="Q25" s="4"/>
      <c r="R25" s="4"/>
      <c r="S25" s="4"/>
      <c r="T25" s="4"/>
      <c r="U25" s="59"/>
      <c r="V25" s="4"/>
      <c r="W25" s="4"/>
      <c r="X25" s="4"/>
      <c r="Y25" s="4"/>
      <c r="Z25" s="59"/>
      <c r="AA25" s="4" cm="1">
        <f t="array" ref="AA25">COUNTIF(D25:Y25,1)+COUNTIF(D25:Y25,_xleta.T)+COUNTIF(D25:Y25,U)+COUNTIF(D25:Y25,J)</f>
        <v>1</v>
      </c>
      <c r="AB25" s="4">
        <f t="shared" si="0"/>
        <v>1</v>
      </c>
      <c r="AC25" s="4">
        <f t="shared" si="1"/>
        <v>0</v>
      </c>
      <c r="AD25" s="4">
        <f t="shared" si="3"/>
        <v>0</v>
      </c>
      <c r="AE25" s="4">
        <f t="shared" si="2"/>
        <v>0</v>
      </c>
      <c r="AF25" s="10">
        <f t="shared" si="4"/>
        <v>5.2631578947368418E-2</v>
      </c>
    </row>
    <row r="26" spans="1:40" x14ac:dyDescent="0.3">
      <c r="A26" s="51">
        <v>15</v>
      </c>
      <c r="B26" s="9">
        <f>Enero!B26</f>
        <v>9</v>
      </c>
      <c r="C26" s="12" t="str">
        <f>Enero!C26</f>
        <v>Dávila Bedoya Evelin Sofía</v>
      </c>
      <c r="D26" s="1">
        <v>1</v>
      </c>
      <c r="E26" s="1">
        <v>1</v>
      </c>
      <c r="F26" s="4"/>
      <c r="G26" s="4"/>
      <c r="H26" s="4"/>
      <c r="I26" s="59"/>
      <c r="J26" s="4"/>
      <c r="K26" s="4"/>
      <c r="L26" s="4"/>
      <c r="M26" s="4"/>
      <c r="N26" s="4"/>
      <c r="O26" s="59"/>
      <c r="P26" s="4"/>
      <c r="Q26" s="4"/>
      <c r="R26" s="4"/>
      <c r="S26" s="4"/>
      <c r="T26" s="4"/>
      <c r="U26" s="59"/>
      <c r="V26" s="4"/>
      <c r="W26" s="4"/>
      <c r="X26" s="4"/>
      <c r="Y26" s="4"/>
      <c r="Z26" s="59"/>
      <c r="AA26" s="4" cm="1">
        <f t="array" ref="AA26">COUNTIF(D26:Y26,1)+COUNTIF(D26:Y26,_xleta.T)+COUNTIF(D26:Y26,U)+COUNTIF(D26:Y26,J)</f>
        <v>2</v>
      </c>
      <c r="AB26" s="4">
        <f t="shared" si="0"/>
        <v>0</v>
      </c>
      <c r="AC26" s="4">
        <f t="shared" si="1"/>
        <v>0</v>
      </c>
      <c r="AD26" s="4">
        <f t="shared" si="3"/>
        <v>0</v>
      </c>
      <c r="AE26" s="4">
        <f t="shared" si="2"/>
        <v>0</v>
      </c>
      <c r="AF26" s="10">
        <f t="shared" si="4"/>
        <v>0.10526315789473684</v>
      </c>
    </row>
    <row r="27" spans="1:40" x14ac:dyDescent="0.3">
      <c r="A27" s="51">
        <v>16</v>
      </c>
      <c r="B27" s="9">
        <f>Enero!B27</f>
        <v>9</v>
      </c>
      <c r="C27" s="12" t="str">
        <f>Enero!C27</f>
        <v>Duque Aristizabal Ángel Gabriel</v>
      </c>
      <c r="D27" s="1">
        <v>0</v>
      </c>
      <c r="E27" s="1">
        <v>1</v>
      </c>
      <c r="F27" s="4"/>
      <c r="G27" s="4"/>
      <c r="H27" s="4"/>
      <c r="I27" s="59"/>
      <c r="J27" s="4"/>
      <c r="K27" s="4"/>
      <c r="L27" s="4"/>
      <c r="M27" s="4"/>
      <c r="N27" s="4"/>
      <c r="O27" s="59"/>
      <c r="P27" s="4"/>
      <c r="Q27" s="4"/>
      <c r="R27" s="4"/>
      <c r="S27" s="4"/>
      <c r="T27" s="4"/>
      <c r="U27" s="59"/>
      <c r="V27" s="4"/>
      <c r="W27" s="4"/>
      <c r="X27" s="4"/>
      <c r="Y27" s="4"/>
      <c r="Z27" s="59"/>
      <c r="AA27" s="4" cm="1">
        <f t="array" ref="AA27">COUNTIF(D27:Y27,1)+COUNTIF(D27:Y27,_xleta.T)+COUNTIF(D27:Y27,U)+COUNTIF(D27:Y27,J)</f>
        <v>1</v>
      </c>
      <c r="AB27" s="4">
        <f t="shared" si="0"/>
        <v>1</v>
      </c>
      <c r="AC27" s="4">
        <f t="shared" si="1"/>
        <v>0</v>
      </c>
      <c r="AD27" s="4">
        <f t="shared" si="3"/>
        <v>0</v>
      </c>
      <c r="AE27" s="4">
        <f t="shared" si="2"/>
        <v>0</v>
      </c>
      <c r="AF27" s="10">
        <f t="shared" si="4"/>
        <v>5.2631578947368418E-2</v>
      </c>
    </row>
    <row r="28" spans="1:40" x14ac:dyDescent="0.3">
      <c r="A28" s="51">
        <v>17</v>
      </c>
      <c r="B28" s="9">
        <f>Enero!B28</f>
        <v>9</v>
      </c>
      <c r="C28" s="12" t="str">
        <f>Enero!C28</f>
        <v>Eusse Castañeda María Fernanda</v>
      </c>
      <c r="D28" s="1">
        <v>1</v>
      </c>
      <c r="E28" s="1">
        <v>1</v>
      </c>
      <c r="F28" s="4"/>
      <c r="G28" s="4"/>
      <c r="H28" s="4"/>
      <c r="I28" s="59"/>
      <c r="J28" s="4"/>
      <c r="K28" s="4"/>
      <c r="L28" s="4"/>
      <c r="M28" s="4"/>
      <c r="N28" s="4"/>
      <c r="O28" s="59"/>
      <c r="P28" s="4"/>
      <c r="Q28" s="4"/>
      <c r="R28" s="4"/>
      <c r="S28" s="4"/>
      <c r="T28" s="4"/>
      <c r="U28" s="59"/>
      <c r="V28" s="4"/>
      <c r="W28" s="4"/>
      <c r="X28" s="4"/>
      <c r="Y28" s="4"/>
      <c r="Z28" s="59"/>
      <c r="AA28" s="4" cm="1">
        <f t="array" ref="AA28">COUNTIF(D28:Y28,1)+COUNTIF(D28:Y28,_xleta.T)+COUNTIF(D28:Y28,U)+COUNTIF(D28:Y28,J)</f>
        <v>2</v>
      </c>
      <c r="AB28" s="4">
        <f t="shared" si="0"/>
        <v>0</v>
      </c>
      <c r="AC28" s="4">
        <f t="shared" si="1"/>
        <v>0</v>
      </c>
      <c r="AD28" s="4">
        <f t="shared" si="3"/>
        <v>0</v>
      </c>
      <c r="AE28" s="4">
        <f t="shared" si="2"/>
        <v>0</v>
      </c>
      <c r="AF28" s="10">
        <f t="shared" si="4"/>
        <v>0.10526315789473684</v>
      </c>
    </row>
    <row r="29" spans="1:40" x14ac:dyDescent="0.3">
      <c r="A29" s="51">
        <v>18</v>
      </c>
      <c r="B29" s="9">
        <f>Enero!B29</f>
        <v>9</v>
      </c>
      <c r="C29" s="12" t="str">
        <f>Enero!C29</f>
        <v>Franco Barraza Gyshet Johanna</v>
      </c>
      <c r="D29" s="1">
        <v>1</v>
      </c>
      <c r="E29" s="1">
        <v>1</v>
      </c>
      <c r="F29" s="4"/>
      <c r="G29" s="4"/>
      <c r="H29" s="4"/>
      <c r="I29" s="59"/>
      <c r="J29" s="4"/>
      <c r="K29" s="4"/>
      <c r="L29" s="4"/>
      <c r="M29" s="4"/>
      <c r="N29" s="4"/>
      <c r="O29" s="59"/>
      <c r="P29" s="4"/>
      <c r="Q29" s="4"/>
      <c r="R29" s="4"/>
      <c r="S29" s="4"/>
      <c r="T29" s="4"/>
      <c r="U29" s="59"/>
      <c r="V29" s="4"/>
      <c r="W29" s="4"/>
      <c r="X29" s="4"/>
      <c r="Y29" s="4"/>
      <c r="Z29" s="59"/>
      <c r="AA29" s="4" cm="1">
        <f t="array" ref="AA29">COUNTIF(D29:Y29,1)+COUNTIF(D29:Y29,_xleta.T)+COUNTIF(D29:Y29,U)+COUNTIF(D29:Y29,J)</f>
        <v>2</v>
      </c>
      <c r="AB29" s="4">
        <f t="shared" si="0"/>
        <v>0</v>
      </c>
      <c r="AC29" s="4">
        <f t="shared" si="1"/>
        <v>0</v>
      </c>
      <c r="AD29" s="4">
        <f t="shared" si="3"/>
        <v>0</v>
      </c>
      <c r="AE29" s="4">
        <f t="shared" si="2"/>
        <v>0</v>
      </c>
      <c r="AF29" s="10">
        <f t="shared" si="4"/>
        <v>0.10526315789473684</v>
      </c>
    </row>
    <row r="30" spans="1:40" x14ac:dyDescent="0.3">
      <c r="A30" s="51">
        <v>19</v>
      </c>
      <c r="B30" s="9">
        <f>Enero!B30</f>
        <v>9</v>
      </c>
      <c r="C30" s="12" t="str">
        <f>Enero!C30</f>
        <v>Giraldo Giraldo Juan Camilo</v>
      </c>
      <c r="D30" s="1">
        <v>1</v>
      </c>
      <c r="E30" s="1">
        <v>1</v>
      </c>
      <c r="F30" s="4"/>
      <c r="G30" s="4"/>
      <c r="H30" s="4"/>
      <c r="I30" s="59"/>
      <c r="J30" s="4"/>
      <c r="K30" s="4"/>
      <c r="L30" s="4"/>
      <c r="M30" s="4"/>
      <c r="N30" s="4"/>
      <c r="O30" s="59"/>
      <c r="P30" s="4"/>
      <c r="Q30" s="4"/>
      <c r="R30" s="4"/>
      <c r="S30" s="4"/>
      <c r="T30" s="4"/>
      <c r="U30" s="59"/>
      <c r="V30" s="4"/>
      <c r="W30" s="4"/>
      <c r="X30" s="4"/>
      <c r="Y30" s="4"/>
      <c r="Z30" s="59"/>
      <c r="AA30" s="4" cm="1">
        <f t="array" ref="AA30">COUNTIF(D30:Y30,1)+COUNTIF(D30:Y30,_xleta.T)+COUNTIF(D30:Y30,U)+COUNTIF(D30:Y30,J)</f>
        <v>2</v>
      </c>
      <c r="AB30" s="4">
        <f t="shared" si="0"/>
        <v>0</v>
      </c>
      <c r="AC30" s="4">
        <f t="shared" si="1"/>
        <v>0</v>
      </c>
      <c r="AD30" s="4">
        <f t="shared" si="3"/>
        <v>0</v>
      </c>
      <c r="AE30" s="4">
        <f t="shared" si="2"/>
        <v>0</v>
      </c>
      <c r="AF30" s="10">
        <f t="shared" si="4"/>
        <v>0.10526315789473684</v>
      </c>
    </row>
    <row r="31" spans="1:40" x14ac:dyDescent="0.3">
      <c r="A31" s="51">
        <v>20</v>
      </c>
      <c r="B31" s="9">
        <f>Enero!B31</f>
        <v>9</v>
      </c>
      <c r="C31" s="12" t="str">
        <f>Enero!C31</f>
        <v>Gómez Vergara Michael Estiven</v>
      </c>
      <c r="D31" s="1">
        <v>1</v>
      </c>
      <c r="E31" s="4">
        <v>0</v>
      </c>
      <c r="F31" s="4"/>
      <c r="G31" s="4"/>
      <c r="H31" s="4"/>
      <c r="I31" s="59"/>
      <c r="J31" s="4"/>
      <c r="K31" s="4"/>
      <c r="L31" s="4"/>
      <c r="M31" s="4"/>
      <c r="N31" s="4"/>
      <c r="O31" s="59"/>
      <c r="P31" s="4"/>
      <c r="Q31" s="4"/>
      <c r="R31" s="4"/>
      <c r="S31" s="4"/>
      <c r="T31" s="4"/>
      <c r="U31" s="59"/>
      <c r="V31" s="4"/>
      <c r="W31" s="4"/>
      <c r="X31" s="4"/>
      <c r="Y31" s="4"/>
      <c r="Z31" s="59"/>
      <c r="AA31" s="4" cm="1">
        <f t="array" ref="AA31">COUNTIF(D31:Y31,1)+COUNTIF(D31:Y31,_xleta.T)+COUNTIF(D31:Y31,U)+COUNTIF(D31:Y31,J)</f>
        <v>1</v>
      </c>
      <c r="AB31" s="4">
        <f t="shared" si="0"/>
        <v>1</v>
      </c>
      <c r="AC31" s="4">
        <f t="shared" si="1"/>
        <v>0</v>
      </c>
      <c r="AD31" s="4">
        <f t="shared" si="3"/>
        <v>0</v>
      </c>
      <c r="AE31" s="4">
        <f t="shared" si="2"/>
        <v>0</v>
      </c>
      <c r="AF31" s="10">
        <f t="shared" si="4"/>
        <v>5.2631578947368418E-2</v>
      </c>
    </row>
    <row r="32" spans="1:40" x14ac:dyDescent="0.3">
      <c r="A32" s="51">
        <v>21</v>
      </c>
      <c r="B32" s="9">
        <f>Enero!B32</f>
        <v>9</v>
      </c>
      <c r="C32" s="12" t="str">
        <f>Enero!C32</f>
        <v>López Aguirre Alexis</v>
      </c>
      <c r="D32" s="1">
        <v>1</v>
      </c>
      <c r="E32" s="1">
        <v>1</v>
      </c>
      <c r="F32" s="4"/>
      <c r="G32" s="4"/>
      <c r="H32" s="4"/>
      <c r="I32" s="59"/>
      <c r="J32" s="4"/>
      <c r="K32" s="4"/>
      <c r="L32" s="4"/>
      <c r="M32" s="4"/>
      <c r="N32" s="4"/>
      <c r="O32" s="59"/>
      <c r="P32" s="4"/>
      <c r="Q32" s="4"/>
      <c r="R32" s="4"/>
      <c r="S32" s="4"/>
      <c r="T32" s="4"/>
      <c r="U32" s="59"/>
      <c r="V32" s="4"/>
      <c r="W32" s="4"/>
      <c r="X32" s="4"/>
      <c r="Y32" s="4"/>
      <c r="Z32" s="59"/>
      <c r="AA32" s="4" cm="1">
        <f t="array" ref="AA32">COUNTIF(D32:Y32,1)+COUNTIF(D32:Y32,_xleta.T)+COUNTIF(D32:Y32,U)+COUNTIF(D32:Y32,J)</f>
        <v>2</v>
      </c>
      <c r="AB32" s="4">
        <f t="shared" si="0"/>
        <v>0</v>
      </c>
      <c r="AC32" s="4">
        <f t="shared" si="1"/>
        <v>0</v>
      </c>
      <c r="AD32" s="4">
        <f t="shared" si="3"/>
        <v>0</v>
      </c>
      <c r="AE32" s="4">
        <f t="shared" si="2"/>
        <v>0</v>
      </c>
      <c r="AF32" s="10">
        <f t="shared" si="4"/>
        <v>0.10526315789473684</v>
      </c>
    </row>
    <row r="33" spans="1:32" x14ac:dyDescent="0.3">
      <c r="A33" s="51">
        <v>22</v>
      </c>
      <c r="B33" s="9">
        <f>Enero!B33</f>
        <v>10</v>
      </c>
      <c r="C33" s="12" t="str">
        <f>Enero!C33</f>
        <v>Duque Aristizabal Yennifer</v>
      </c>
      <c r="D33" s="1">
        <v>0</v>
      </c>
      <c r="E33" s="1">
        <v>1</v>
      </c>
      <c r="F33" s="4"/>
      <c r="G33" s="4"/>
      <c r="H33" s="4"/>
      <c r="I33" s="59"/>
      <c r="J33" s="4"/>
      <c r="K33" s="4"/>
      <c r="L33" s="4"/>
      <c r="M33" s="4"/>
      <c r="N33" s="4"/>
      <c r="O33" s="59"/>
      <c r="P33" s="4"/>
      <c r="Q33" s="4"/>
      <c r="R33" s="4"/>
      <c r="S33" s="4"/>
      <c r="T33" s="4"/>
      <c r="U33" s="59"/>
      <c r="V33" s="4"/>
      <c r="W33" s="4"/>
      <c r="X33" s="4"/>
      <c r="Y33" s="4"/>
      <c r="Z33" s="59"/>
      <c r="AA33" s="4" cm="1">
        <f t="array" ref="AA33">COUNTIF(D33:Y33,1)+COUNTIF(D33:Y33,_xleta.T)+COUNTIF(D33:Y33,U)+COUNTIF(D33:Y33,J)</f>
        <v>1</v>
      </c>
      <c r="AB33" s="4">
        <f t="shared" si="0"/>
        <v>1</v>
      </c>
      <c r="AC33" s="4">
        <f t="shared" si="1"/>
        <v>0</v>
      </c>
      <c r="AD33" s="4">
        <f t="shared" si="3"/>
        <v>0</v>
      </c>
      <c r="AE33" s="4">
        <f t="shared" si="2"/>
        <v>0</v>
      </c>
      <c r="AF33" s="10">
        <f t="shared" si="4"/>
        <v>5.2631578947368418E-2</v>
      </c>
    </row>
    <row r="34" spans="1:32" x14ac:dyDescent="0.3">
      <c r="A34" s="51">
        <v>23</v>
      </c>
      <c r="B34" s="9">
        <f>Enero!B34</f>
        <v>10</v>
      </c>
      <c r="C34" s="12" t="str">
        <f>Enero!C34</f>
        <v>García Navarro Sebastian Camilo</v>
      </c>
      <c r="D34" s="1">
        <v>1</v>
      </c>
      <c r="E34" s="1">
        <v>1</v>
      </c>
      <c r="F34" s="4"/>
      <c r="G34" s="4"/>
      <c r="H34" s="4"/>
      <c r="I34" s="59"/>
      <c r="J34" s="4"/>
      <c r="K34" s="4"/>
      <c r="L34" s="4"/>
      <c r="M34" s="4"/>
      <c r="N34" s="4"/>
      <c r="O34" s="59"/>
      <c r="P34" s="4"/>
      <c r="Q34" s="4"/>
      <c r="R34" s="4"/>
      <c r="S34" s="4"/>
      <c r="T34" s="4"/>
      <c r="U34" s="59"/>
      <c r="V34" s="4"/>
      <c r="W34" s="4"/>
      <c r="X34" s="4"/>
      <c r="Y34" s="4"/>
      <c r="Z34" s="59"/>
      <c r="AA34" s="4" cm="1">
        <f t="array" ref="AA34">COUNTIF(D34:Y34,1)+COUNTIF(D34:Y34,_xleta.T)+COUNTIF(D34:Y34,U)+COUNTIF(D34:Y34,J)</f>
        <v>2</v>
      </c>
      <c r="AB34" s="4">
        <f t="shared" si="0"/>
        <v>0</v>
      </c>
      <c r="AC34" s="4">
        <f t="shared" si="1"/>
        <v>0</v>
      </c>
      <c r="AD34" s="4">
        <f t="shared" si="3"/>
        <v>0</v>
      </c>
      <c r="AE34" s="4">
        <f t="shared" si="2"/>
        <v>0</v>
      </c>
      <c r="AF34" s="10">
        <f t="shared" si="4"/>
        <v>0.10526315789473684</v>
      </c>
    </row>
    <row r="35" spans="1:32" x14ac:dyDescent="0.3">
      <c r="A35" s="51">
        <v>24</v>
      </c>
      <c r="B35" s="9">
        <f>Enero!B35</f>
        <v>10</v>
      </c>
      <c r="C35" s="12" t="str">
        <f>Enero!C35</f>
        <v>Gallego Giraldo Marlon</v>
      </c>
      <c r="D35" s="1">
        <v>1</v>
      </c>
      <c r="E35" s="1">
        <v>1</v>
      </c>
      <c r="F35" s="4"/>
      <c r="G35" s="4"/>
      <c r="H35" s="4"/>
      <c r="I35" s="59"/>
      <c r="J35" s="4"/>
      <c r="K35" s="4"/>
      <c r="L35" s="4"/>
      <c r="M35" s="4"/>
      <c r="N35" s="4"/>
      <c r="O35" s="59"/>
      <c r="P35" s="4"/>
      <c r="Q35" s="4"/>
      <c r="R35" s="4"/>
      <c r="S35" s="4"/>
      <c r="T35" s="4"/>
      <c r="U35" s="59"/>
      <c r="V35" s="4"/>
      <c r="W35" s="4"/>
      <c r="X35" s="4"/>
      <c r="Y35" s="4"/>
      <c r="Z35" s="59"/>
      <c r="AA35" s="4" cm="1">
        <f t="array" ref="AA35">COUNTIF(D35:Y35,1)+COUNTIF(D35:Y35,_xleta.T)+COUNTIF(D35:Y35,U)+COUNTIF(D35:Y35,J)</f>
        <v>2</v>
      </c>
      <c r="AB35" s="4">
        <f t="shared" si="0"/>
        <v>0</v>
      </c>
      <c r="AC35" s="4">
        <f t="shared" si="1"/>
        <v>0</v>
      </c>
      <c r="AD35" s="4">
        <f t="shared" si="3"/>
        <v>0</v>
      </c>
      <c r="AE35" s="4">
        <f t="shared" si="2"/>
        <v>0</v>
      </c>
      <c r="AF35" s="10">
        <f t="shared" si="4"/>
        <v>0.10526315789473684</v>
      </c>
    </row>
    <row r="36" spans="1:32" x14ac:dyDescent="0.3">
      <c r="A36" s="51">
        <v>25</v>
      </c>
      <c r="B36" s="9">
        <f>Enero!B36</f>
        <v>10</v>
      </c>
      <c r="C36" s="12" t="str">
        <f>Enero!C36</f>
        <v>Gómez Pamplona Julieta</v>
      </c>
      <c r="D36" s="1">
        <v>1</v>
      </c>
      <c r="E36" s="1">
        <v>1</v>
      </c>
      <c r="F36" s="4"/>
      <c r="G36" s="4"/>
      <c r="H36" s="4"/>
      <c r="I36" s="59"/>
      <c r="J36" s="4"/>
      <c r="K36" s="4"/>
      <c r="L36" s="4"/>
      <c r="M36" s="4"/>
      <c r="N36" s="4"/>
      <c r="O36" s="59"/>
      <c r="P36" s="4"/>
      <c r="Q36" s="4"/>
      <c r="R36" s="4"/>
      <c r="S36" s="4"/>
      <c r="T36" s="4"/>
      <c r="U36" s="59"/>
      <c r="V36" s="4"/>
      <c r="W36" s="4"/>
      <c r="X36" s="4"/>
      <c r="Y36" s="4"/>
      <c r="Z36" s="59"/>
      <c r="AA36" s="4" cm="1">
        <f t="array" ref="AA36">COUNTIF(D36:Y36,1)+COUNTIF(D36:Y36,_xleta.T)+COUNTIF(D36:Y36,U)+COUNTIF(D36:Y36,J)</f>
        <v>2</v>
      </c>
      <c r="AB36" s="4">
        <f t="shared" si="0"/>
        <v>0</v>
      </c>
      <c r="AC36" s="4">
        <f t="shared" si="1"/>
        <v>0</v>
      </c>
      <c r="AD36" s="4">
        <f t="shared" si="3"/>
        <v>0</v>
      </c>
      <c r="AE36" s="4">
        <f t="shared" si="2"/>
        <v>0</v>
      </c>
      <c r="AF36" s="10">
        <f t="shared" si="4"/>
        <v>0.10526315789473684</v>
      </c>
    </row>
    <row r="37" spans="1:32" x14ac:dyDescent="0.3">
      <c r="A37" s="51">
        <v>26</v>
      </c>
      <c r="B37" s="9">
        <f>Enero!B37</f>
        <v>10</v>
      </c>
      <c r="C37" s="12" t="str">
        <f>Enero!C37</f>
        <v>González Martínez Salomé</v>
      </c>
      <c r="D37" s="1">
        <v>1</v>
      </c>
      <c r="E37" s="1">
        <v>1</v>
      </c>
      <c r="F37" s="4"/>
      <c r="G37" s="4"/>
      <c r="H37" s="4"/>
      <c r="I37" s="59"/>
      <c r="J37" s="4"/>
      <c r="K37" s="4"/>
      <c r="L37" s="4"/>
      <c r="M37" s="4"/>
      <c r="N37" s="4"/>
      <c r="O37" s="59"/>
      <c r="P37" s="4"/>
      <c r="Q37" s="4"/>
      <c r="R37" s="4"/>
      <c r="S37" s="4"/>
      <c r="T37" s="4"/>
      <c r="U37" s="59"/>
      <c r="V37" s="4"/>
      <c r="W37" s="4"/>
      <c r="X37" s="4"/>
      <c r="Y37" s="4"/>
      <c r="Z37" s="59"/>
      <c r="AA37" s="4" cm="1">
        <f t="array" ref="AA37">COUNTIF(D37:Y37,1)+COUNTIF(D37:Y37,_xleta.T)+COUNTIF(D37:Y37,U)+COUNTIF(D37:Y37,J)</f>
        <v>2</v>
      </c>
      <c r="AB37" s="4">
        <f t="shared" ref="AB37:AB40" si="5">COUNTIF(D37:Y37,0)</f>
        <v>0</v>
      </c>
      <c r="AC37" s="4">
        <f t="shared" ref="AC37:AC40" si="6">COUNTIF(D37:Y37,"T")</f>
        <v>0</v>
      </c>
      <c r="AD37" s="4">
        <f t="shared" ref="AD37:AD40" si="7">COUNTIF(D37:Y37,"U")</f>
        <v>0</v>
      </c>
      <c r="AE37" s="4">
        <f t="shared" ref="AE37:AE40" si="8">COUNTIF(D37:Y37,"J")</f>
        <v>0</v>
      </c>
      <c r="AF37" s="10">
        <f t="shared" ref="AF37:AF40" si="9">SUM(AA37)/COUNTA($D$11:$H$11,$J$11:$N$11,$P$11:$T$11,$V$11:$Y$11)</f>
        <v>0.10526315789473684</v>
      </c>
    </row>
    <row r="38" spans="1:32" x14ac:dyDescent="0.3">
      <c r="A38" s="51">
        <v>27</v>
      </c>
      <c r="B38" s="9">
        <v>10</v>
      </c>
      <c r="C38" s="12" t="s">
        <v>56</v>
      </c>
      <c r="D38" s="1">
        <v>1</v>
      </c>
      <c r="E38" s="1">
        <v>1</v>
      </c>
      <c r="F38" s="4"/>
      <c r="G38" s="4"/>
      <c r="H38" s="4"/>
      <c r="I38" s="59"/>
      <c r="J38" s="4"/>
      <c r="K38" s="4"/>
      <c r="L38" s="4"/>
      <c r="M38" s="4"/>
      <c r="N38" s="4"/>
      <c r="O38" s="59"/>
      <c r="P38" s="4"/>
      <c r="Q38" s="4"/>
      <c r="R38" s="4"/>
      <c r="S38" s="4"/>
      <c r="T38" s="4"/>
      <c r="U38" s="59"/>
      <c r="V38" s="4"/>
      <c r="W38" s="4"/>
      <c r="X38" s="4"/>
      <c r="Y38" s="4"/>
      <c r="Z38" s="59"/>
      <c r="AA38" s="4" cm="1">
        <f t="array" ref="AA38">COUNTIF(D38:Y38,1)+COUNTIF(D38:Y38,_xleta.T)+COUNTIF(D38:Y38,U)+COUNTIF(D38:Y38,J)</f>
        <v>2</v>
      </c>
      <c r="AB38" s="4">
        <f t="shared" si="5"/>
        <v>0</v>
      </c>
      <c r="AC38" s="4">
        <f t="shared" si="6"/>
        <v>0</v>
      </c>
      <c r="AD38" s="4">
        <f t="shared" si="7"/>
        <v>0</v>
      </c>
      <c r="AE38" s="4">
        <f t="shared" si="8"/>
        <v>0</v>
      </c>
      <c r="AF38" s="10">
        <f t="shared" si="9"/>
        <v>0.10526315789473684</v>
      </c>
    </row>
    <row r="39" spans="1:32" x14ac:dyDescent="0.3">
      <c r="A39" s="51">
        <v>28</v>
      </c>
      <c r="B39" s="9">
        <f>Enero!B39</f>
        <v>10</v>
      </c>
      <c r="C39" s="12" t="str">
        <f>Enero!C39</f>
        <v>Valencia Vásquez Anderson</v>
      </c>
      <c r="D39" s="1">
        <v>1</v>
      </c>
      <c r="E39" s="1">
        <v>1</v>
      </c>
      <c r="F39" s="4"/>
      <c r="G39" s="4"/>
      <c r="H39" s="4"/>
      <c r="I39" s="59"/>
      <c r="J39" s="4"/>
      <c r="K39" s="4"/>
      <c r="L39" s="4"/>
      <c r="M39" s="4"/>
      <c r="N39" s="4"/>
      <c r="O39" s="59"/>
      <c r="P39" s="4"/>
      <c r="Q39" s="4"/>
      <c r="R39" s="4"/>
      <c r="S39" s="4"/>
      <c r="T39" s="4"/>
      <c r="U39" s="59"/>
      <c r="V39" s="4"/>
      <c r="W39" s="4"/>
      <c r="X39" s="4"/>
      <c r="Y39" s="4"/>
      <c r="Z39" s="59"/>
      <c r="AA39" s="4" cm="1">
        <f t="array" ref="AA39">COUNTIF(D39:Y39,1)+COUNTIF(D39:Y39,_xleta.T)+COUNTIF(D39:Y39,U)+COUNTIF(D39:Y39,J)</f>
        <v>2</v>
      </c>
      <c r="AB39" s="4">
        <f t="shared" si="5"/>
        <v>0</v>
      </c>
      <c r="AC39" s="4">
        <f t="shared" si="6"/>
        <v>0</v>
      </c>
      <c r="AD39" s="4">
        <f t="shared" si="7"/>
        <v>0</v>
      </c>
      <c r="AE39" s="4">
        <f t="shared" si="8"/>
        <v>0</v>
      </c>
      <c r="AF39" s="10">
        <f t="shared" si="9"/>
        <v>0.10526315789473684</v>
      </c>
    </row>
    <row r="40" spans="1:32" x14ac:dyDescent="0.3">
      <c r="A40" s="51">
        <v>29</v>
      </c>
      <c r="B40" s="9">
        <f>Enero!B40</f>
        <v>11</v>
      </c>
      <c r="C40" s="12" t="str">
        <f>Enero!C40</f>
        <v>Caviedes Hernández Cristina</v>
      </c>
      <c r="D40" s="1">
        <v>1</v>
      </c>
      <c r="E40" s="1">
        <v>1</v>
      </c>
      <c r="F40" s="4"/>
      <c r="G40" s="4"/>
      <c r="H40" s="4"/>
      <c r="I40" s="59"/>
      <c r="J40" s="4"/>
      <c r="K40" s="4"/>
      <c r="L40" s="4"/>
      <c r="M40" s="4"/>
      <c r="N40" s="4"/>
      <c r="O40" s="59"/>
      <c r="P40" s="4"/>
      <c r="Q40" s="4"/>
      <c r="R40" s="4"/>
      <c r="S40" s="4"/>
      <c r="T40" s="4"/>
      <c r="U40" s="59"/>
      <c r="V40" s="4"/>
      <c r="W40" s="4"/>
      <c r="X40" s="4"/>
      <c r="Y40" s="4"/>
      <c r="Z40" s="59"/>
      <c r="AA40" s="4" cm="1">
        <f t="array" ref="AA40">COUNTIF(D40:Y40,1)+COUNTIF(D40:Y40,_xleta.T)+COUNTIF(D40:Y40,U)+COUNTIF(D40:Y40,J)</f>
        <v>2</v>
      </c>
      <c r="AB40" s="4">
        <f t="shared" si="5"/>
        <v>0</v>
      </c>
      <c r="AC40" s="4">
        <f t="shared" si="6"/>
        <v>0</v>
      </c>
      <c r="AD40" s="4">
        <f t="shared" si="7"/>
        <v>0</v>
      </c>
      <c r="AE40" s="4">
        <f t="shared" si="8"/>
        <v>0</v>
      </c>
      <c r="AF40" s="10">
        <f t="shared" si="9"/>
        <v>0.10526315789473684</v>
      </c>
    </row>
  </sheetData>
  <mergeCells count="25">
    <mergeCell ref="C10:J10"/>
    <mergeCell ref="K10:S10"/>
    <mergeCell ref="T10:Z10"/>
    <mergeCell ref="AA10:AB10"/>
    <mergeCell ref="AI11:AP11"/>
    <mergeCell ref="I11:I40"/>
    <mergeCell ref="O11:O40"/>
    <mergeCell ref="U11:U40"/>
    <mergeCell ref="Z11:Z40"/>
    <mergeCell ref="AE1:AF7"/>
    <mergeCell ref="Y9:AF9"/>
    <mergeCell ref="A8:AF8"/>
    <mergeCell ref="AC10:AF10"/>
    <mergeCell ref="A1:B7"/>
    <mergeCell ref="C1:AC1"/>
    <mergeCell ref="A10:B10"/>
    <mergeCell ref="A9:B9"/>
    <mergeCell ref="C9:G9"/>
    <mergeCell ref="H9:J9"/>
    <mergeCell ref="K9:S9"/>
    <mergeCell ref="AA2:AC3"/>
    <mergeCell ref="AA4:AC5"/>
    <mergeCell ref="AA6:AC7"/>
    <mergeCell ref="C7:Z7"/>
    <mergeCell ref="C2:Z6"/>
  </mergeCells>
  <conditionalFormatting sqref="D11:Y11 D12:H40 J12:N40 P12:T40 V12:Y40">
    <cfRule type="cellIs" dxfId="214" priority="1" stopIfTrue="1" operator="equal">
      <formula>"T"</formula>
    </cfRule>
  </conditionalFormatting>
  <conditionalFormatting sqref="G17">
    <cfRule type="cellIs" dxfId="213" priority="4" operator="equal">
      <formula>"T, t"</formula>
    </cfRule>
  </conditionalFormatting>
  <conditionalFormatting sqref="I11 J12:N23 P12:T23 V12:Y23 E13:H23 Z11">
    <cfRule type="cellIs" dxfId="212" priority="6" operator="equal">
      <formula>"T"</formula>
    </cfRule>
  </conditionalFormatting>
  <conditionalFormatting sqref="J16:K23">
    <cfRule type="cellIs" dxfId="211" priority="7" stopIfTrue="1" operator="equal">
      <formula>"J"</formula>
    </cfRule>
  </conditionalFormatting>
  <conditionalFormatting sqref="J12:N40 V12:Y40 I11 D12:H40 P12:T40">
    <cfRule type="cellIs" dxfId="210" priority="99" operator="equal">
      <formula>"J"</formula>
    </cfRule>
  </conditionalFormatting>
  <conditionalFormatting sqref="Y12">
    <cfRule type="cellIs" dxfId="209" priority="3" operator="equal">
      <formula>"J"</formula>
    </cfRule>
  </conditionalFormatting>
  <dataValidations count="1">
    <dataValidation type="list" allowBlank="1" showInputMessage="1" showErrorMessage="1" sqref="V12:Y40 P12:T40 J12:N40 D12:H40" xr:uid="{3B648C8C-9292-4475-AED6-D4AB21E6C745}">
      <formula1>$AJ$12:$AJ$16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" id="{FE05F814-C951-463B-B42D-D134A19BD8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J12:N40 P12:T40 V12:Y40 D12:H40</xm:sqref>
        </x14:conditionalFormatting>
        <x14:conditionalFormatting xmlns:xm="http://schemas.microsoft.com/office/excel/2006/main">
          <x14:cfRule type="iconSet" priority="79" id="{C741B467-09E1-49C6-A82C-3E379CA852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J15:L23 H15:H23 E13:E15 D41:Z63 J24:N40 P24:T40 V24:Y40 D24:H40</xm:sqref>
        </x14:conditionalFormatting>
        <x14:conditionalFormatting xmlns:xm="http://schemas.microsoft.com/office/excel/2006/main">
          <x14:cfRule type="iconSet" priority="10" id="{CAFD58E2-3A8B-4B07-A2DD-145309E057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Y13:Y23 E16:H23 E13:H13 E14:E15 G15:H15 H14 I11 J13:L23 J12:N12 P12:T12 V12:Y12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3B47-9AF4-445C-ADFB-4A0173E7C989}">
  <sheetPr codeName="Hoja4"/>
  <dimension ref="A1:AO40"/>
  <sheetViews>
    <sheetView topLeftCell="A12" zoomScale="90" zoomScaleNormal="90" workbookViewId="0">
      <selection activeCell="F26" sqref="F2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35" style="13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5" width="3.21875" customWidth="1"/>
    <col min="26" max="26" width="3.77734375" customWidth="1"/>
    <col min="27" max="27" width="11.77734375" customWidth="1"/>
    <col min="28" max="28" width="7.33203125" bestFit="1" customWidth="1"/>
    <col min="29" max="29" width="7" bestFit="1" customWidth="1"/>
    <col min="30" max="30" width="14.77734375" bestFit="1" customWidth="1"/>
    <col min="31" max="31" width="13.77734375" bestFit="1" customWidth="1"/>
  </cols>
  <sheetData>
    <row r="1" spans="1:41" x14ac:dyDescent="0.3">
      <c r="A1" s="59"/>
      <c r="B1" s="65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5"/>
      <c r="AE1" s="65"/>
    </row>
    <row r="2" spans="1:41" x14ac:dyDescent="0.3">
      <c r="A2" s="59"/>
      <c r="B2" s="66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59"/>
      <c r="AE2" s="66"/>
    </row>
    <row r="3" spans="1:41" x14ac:dyDescent="0.3">
      <c r="A3" s="59"/>
      <c r="B3" s="66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59"/>
      <c r="AE3" s="66"/>
    </row>
    <row r="4" spans="1:41" x14ac:dyDescent="0.3">
      <c r="A4" s="59"/>
      <c r="B4" s="6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59"/>
      <c r="AE4" s="66"/>
    </row>
    <row r="5" spans="1:41" x14ac:dyDescent="0.3">
      <c r="A5" s="59"/>
      <c r="B5" s="66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59"/>
      <c r="AE5" s="66"/>
    </row>
    <row r="6" spans="1:41" x14ac:dyDescent="0.3">
      <c r="A6" s="59"/>
      <c r="B6" s="66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59"/>
      <c r="AE6" s="66"/>
    </row>
    <row r="7" spans="1:41" x14ac:dyDescent="0.3">
      <c r="A7" s="59"/>
      <c r="B7" s="66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59"/>
      <c r="AE7" s="66"/>
    </row>
    <row r="8" spans="1:41" x14ac:dyDescent="0.3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2"/>
    </row>
    <row r="9" spans="1:41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7"/>
      <c r="Z9" s="68"/>
      <c r="AA9" s="68"/>
      <c r="AB9" s="68"/>
      <c r="AC9" s="68"/>
      <c r="AD9" s="68"/>
      <c r="AE9" s="69"/>
    </row>
    <row r="10" spans="1:41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7"/>
      <c r="AD10" s="68"/>
      <c r="AE10" s="69"/>
    </row>
    <row r="11" spans="1:41" s="3" customFormat="1" x14ac:dyDescent="0.3">
      <c r="A11" s="6" t="s">
        <v>8</v>
      </c>
      <c r="B11" s="2" t="s">
        <v>7</v>
      </c>
      <c r="C11" s="11" t="s">
        <v>0</v>
      </c>
      <c r="D11" s="1">
        <v>6</v>
      </c>
      <c r="E11" s="1">
        <v>7</v>
      </c>
      <c r="F11" s="1">
        <v>8</v>
      </c>
      <c r="G11" s="1">
        <v>9</v>
      </c>
      <c r="H11" s="1">
        <v>10</v>
      </c>
      <c r="I11" s="58"/>
      <c r="J11" s="1">
        <v>13</v>
      </c>
      <c r="K11" s="1">
        <v>14</v>
      </c>
      <c r="L11" s="1">
        <v>15</v>
      </c>
      <c r="M11" s="1">
        <v>16</v>
      </c>
      <c r="N11" s="1">
        <v>17</v>
      </c>
      <c r="O11" s="75"/>
      <c r="P11" s="1">
        <v>20</v>
      </c>
      <c r="Q11" s="1">
        <v>21</v>
      </c>
      <c r="R11" s="1">
        <v>22</v>
      </c>
      <c r="S11" s="1">
        <v>23</v>
      </c>
      <c r="T11" s="1">
        <v>24</v>
      </c>
      <c r="U11" s="75"/>
      <c r="V11" s="1">
        <v>27</v>
      </c>
      <c r="W11" s="1">
        <v>28</v>
      </c>
      <c r="X11" s="1">
        <v>29</v>
      </c>
      <c r="Y11" s="1">
        <v>30</v>
      </c>
      <c r="Z11" s="75"/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H11" s="55" t="s">
        <v>9</v>
      </c>
      <c r="AI11" s="56"/>
      <c r="AJ11" s="56"/>
      <c r="AK11" s="56"/>
      <c r="AL11" s="56"/>
      <c r="AM11" s="56"/>
      <c r="AN11" s="56"/>
      <c r="AO11" s="57"/>
    </row>
    <row r="12" spans="1:41" s="3" customFormat="1" x14ac:dyDescent="0.3">
      <c r="A12" s="51">
        <v>1</v>
      </c>
      <c r="B12" s="9">
        <v>6</v>
      </c>
      <c r="C12" s="12" t="s">
        <v>55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59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76"/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76"/>
      <c r="V12" s="1">
        <v>1</v>
      </c>
      <c r="W12" s="1">
        <v>1</v>
      </c>
      <c r="X12" s="1">
        <v>1</v>
      </c>
      <c r="Y12" s="1">
        <v>1</v>
      </c>
      <c r="Z12" s="76"/>
      <c r="AA12" s="4">
        <f t="shared" ref="AA12:AA36" si="0">COUNTIF(D12:Y12,1)</f>
        <v>19</v>
      </c>
      <c r="AB12" s="4">
        <f t="shared" ref="AB12:AB36" si="1">COUNTIF(D12:Y12,0)</f>
        <v>0</v>
      </c>
      <c r="AC12" s="4">
        <f t="shared" ref="AC12:AC36" si="2">COUNTIF(D12:Y12,"T")</f>
        <v>0</v>
      </c>
      <c r="AD12" s="4">
        <f t="shared" ref="AD12:AD36" si="3">COUNTIF(D12:Y12,"J")</f>
        <v>0</v>
      </c>
      <c r="AE12" s="10">
        <f>SUM(AA12+AC12)/19</f>
        <v>1</v>
      </c>
      <c r="AH12" s="17"/>
      <c r="AI12" s="14">
        <v>1</v>
      </c>
      <c r="AJ12" s="3" t="s">
        <v>10</v>
      </c>
      <c r="AK12" s="8"/>
      <c r="AL12" s="8"/>
      <c r="AO12" s="18"/>
    </row>
    <row r="13" spans="1:41" s="3" customFormat="1" x14ac:dyDescent="0.3">
      <c r="A13" s="51">
        <v>2</v>
      </c>
      <c r="B13" s="9">
        <f>Enero!B13</f>
        <v>6</v>
      </c>
      <c r="C13" s="12" t="str">
        <f>Enero!C13</f>
        <v>Dávila Bedoya Kevin Alejandro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59"/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76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76"/>
      <c r="V13" s="1">
        <v>0</v>
      </c>
      <c r="W13" s="1">
        <v>0</v>
      </c>
      <c r="X13" s="1">
        <v>0</v>
      </c>
      <c r="Y13" s="1">
        <v>0</v>
      </c>
      <c r="Z13" s="76"/>
      <c r="AA13" s="4">
        <f t="shared" si="0"/>
        <v>0</v>
      </c>
      <c r="AB13" s="4">
        <f t="shared" si="1"/>
        <v>19</v>
      </c>
      <c r="AC13" s="4">
        <f t="shared" si="2"/>
        <v>0</v>
      </c>
      <c r="AD13" s="4">
        <f t="shared" si="3"/>
        <v>0</v>
      </c>
      <c r="AE13" s="10">
        <f t="shared" ref="AE13:AE36" si="4">SUM(AA13+AC13)/19</f>
        <v>0</v>
      </c>
      <c r="AH13" s="17"/>
      <c r="AI13" s="15">
        <v>0</v>
      </c>
      <c r="AJ13" s="3" t="s">
        <v>14</v>
      </c>
      <c r="AO13" s="18"/>
    </row>
    <row r="14" spans="1:41" s="3" customFormat="1" x14ac:dyDescent="0.3">
      <c r="A14" s="51">
        <v>3</v>
      </c>
      <c r="B14" s="9">
        <f>Enero!B14</f>
        <v>6</v>
      </c>
      <c r="C14" s="12" t="str">
        <f>Enero!C14</f>
        <v>Franco Barraza Maria Jose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59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76"/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76"/>
      <c r="V14" s="1">
        <v>1</v>
      </c>
      <c r="W14" s="1">
        <v>1</v>
      </c>
      <c r="X14" s="1">
        <v>1</v>
      </c>
      <c r="Y14" s="1">
        <v>1</v>
      </c>
      <c r="Z14" s="76"/>
      <c r="AA14" s="4">
        <f t="shared" si="0"/>
        <v>19</v>
      </c>
      <c r="AB14" s="4">
        <f t="shared" si="1"/>
        <v>0</v>
      </c>
      <c r="AC14" s="4">
        <f t="shared" si="2"/>
        <v>0</v>
      </c>
      <c r="AD14" s="4">
        <f t="shared" si="3"/>
        <v>0</v>
      </c>
      <c r="AE14" s="10">
        <f t="shared" si="4"/>
        <v>1</v>
      </c>
      <c r="AH14" s="17"/>
      <c r="AI14" s="16" t="s">
        <v>11</v>
      </c>
      <c r="AJ14" s="3" t="s">
        <v>12</v>
      </c>
      <c r="AO14" s="18"/>
    </row>
    <row r="15" spans="1:41" ht="15" thickBot="1" x14ac:dyDescent="0.35">
      <c r="A15" s="51">
        <v>4</v>
      </c>
      <c r="B15" s="9">
        <f>Enero!B15</f>
        <v>6</v>
      </c>
      <c r="C15" s="12" t="str">
        <f>Enero!C15</f>
        <v>Vera Figuera Branyelis Del Carmen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59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76"/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76"/>
      <c r="V15" s="1">
        <v>1</v>
      </c>
      <c r="W15" s="1">
        <v>1</v>
      </c>
      <c r="X15" s="1">
        <v>1</v>
      </c>
      <c r="Y15" s="1">
        <v>1</v>
      </c>
      <c r="Z15" s="76"/>
      <c r="AA15" s="4">
        <f t="shared" si="0"/>
        <v>19</v>
      </c>
      <c r="AB15" s="4">
        <f t="shared" si="1"/>
        <v>0</v>
      </c>
      <c r="AC15" s="4">
        <f t="shared" si="2"/>
        <v>0</v>
      </c>
      <c r="AD15" s="4">
        <f t="shared" si="3"/>
        <v>0</v>
      </c>
      <c r="AE15" s="10">
        <f t="shared" si="4"/>
        <v>1</v>
      </c>
      <c r="AH15" s="19"/>
      <c r="AI15" s="20" t="s">
        <v>6</v>
      </c>
      <c r="AJ15" s="21" t="s">
        <v>13</v>
      </c>
      <c r="AK15" s="22"/>
      <c r="AL15" s="22"/>
      <c r="AM15" s="22"/>
      <c r="AN15" s="22"/>
      <c r="AO15" s="23"/>
    </row>
    <row r="16" spans="1:41" x14ac:dyDescent="0.3">
      <c r="A16" s="51">
        <v>5</v>
      </c>
      <c r="B16" s="9">
        <f>Enero!B16</f>
        <v>7</v>
      </c>
      <c r="C16" s="12" t="str">
        <f>Enero!C16</f>
        <v>Adrianza Figuera Brainer Josué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59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76"/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76"/>
      <c r="V16" s="1">
        <v>1</v>
      </c>
      <c r="W16" s="1">
        <v>1</v>
      </c>
      <c r="X16" s="1">
        <v>1</v>
      </c>
      <c r="Y16" s="1">
        <v>1</v>
      </c>
      <c r="Z16" s="76"/>
      <c r="AA16" s="4">
        <f t="shared" si="0"/>
        <v>19</v>
      </c>
      <c r="AB16" s="4">
        <f t="shared" si="1"/>
        <v>0</v>
      </c>
      <c r="AC16" s="4">
        <f t="shared" si="2"/>
        <v>0</v>
      </c>
      <c r="AD16" s="4">
        <f t="shared" si="3"/>
        <v>0</v>
      </c>
      <c r="AE16" s="10">
        <f t="shared" si="4"/>
        <v>1</v>
      </c>
    </row>
    <row r="17" spans="1:39" x14ac:dyDescent="0.3">
      <c r="A17" s="51">
        <v>6</v>
      </c>
      <c r="B17" s="9">
        <f>Enero!B17</f>
        <v>7</v>
      </c>
      <c r="C17" s="12" t="str">
        <f>Enero!C17</f>
        <v>Chavarría Valencia Dylan Alexis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59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76"/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76"/>
      <c r="V17" s="1">
        <v>1</v>
      </c>
      <c r="W17" s="1">
        <v>1</v>
      </c>
      <c r="X17" s="1">
        <v>1</v>
      </c>
      <c r="Y17" s="1">
        <v>1</v>
      </c>
      <c r="Z17" s="76"/>
      <c r="AA17" s="4">
        <f t="shared" si="0"/>
        <v>19</v>
      </c>
      <c r="AB17" s="4">
        <f t="shared" si="1"/>
        <v>0</v>
      </c>
      <c r="AC17" s="4">
        <f t="shared" si="2"/>
        <v>0</v>
      </c>
      <c r="AD17" s="4">
        <f t="shared" si="3"/>
        <v>0</v>
      </c>
      <c r="AE17" s="10">
        <f t="shared" si="4"/>
        <v>1</v>
      </c>
    </row>
    <row r="18" spans="1:39" x14ac:dyDescent="0.3">
      <c r="A18" s="51">
        <v>7</v>
      </c>
      <c r="B18" s="9">
        <f>Enero!B18</f>
        <v>7</v>
      </c>
      <c r="C18" s="12" t="str">
        <f>Enero!C18</f>
        <v>Giraldo Ceballos Miguel Angel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59"/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76"/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76"/>
      <c r="V18" s="1">
        <v>1</v>
      </c>
      <c r="W18" s="1">
        <v>1</v>
      </c>
      <c r="X18" s="1">
        <v>1</v>
      </c>
      <c r="Y18" s="1">
        <v>1</v>
      </c>
      <c r="Z18" s="76"/>
      <c r="AA18" s="4">
        <f t="shared" si="0"/>
        <v>19</v>
      </c>
      <c r="AB18" s="4">
        <f t="shared" si="1"/>
        <v>0</v>
      </c>
      <c r="AC18" s="4">
        <f t="shared" si="2"/>
        <v>0</v>
      </c>
      <c r="AD18" s="4">
        <f t="shared" si="3"/>
        <v>0</v>
      </c>
      <c r="AE18" s="10">
        <f t="shared" si="4"/>
        <v>1</v>
      </c>
      <c r="AJ18" s="8"/>
      <c r="AL18" s="3"/>
      <c r="AM18" s="3"/>
    </row>
    <row r="19" spans="1:39" x14ac:dyDescent="0.3">
      <c r="A19" s="51">
        <v>8</v>
      </c>
      <c r="B19" s="9">
        <f>Enero!B19</f>
        <v>7</v>
      </c>
      <c r="C19" s="12" t="str">
        <f>Enero!C19</f>
        <v>Hincapié Muñoz Juan Pablo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59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76"/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76"/>
      <c r="V19" s="1">
        <v>1</v>
      </c>
      <c r="W19" s="1">
        <v>1</v>
      </c>
      <c r="X19" s="1">
        <v>1</v>
      </c>
      <c r="Y19" s="1">
        <v>1</v>
      </c>
      <c r="Z19" s="76"/>
      <c r="AA19" s="4">
        <f t="shared" si="0"/>
        <v>19</v>
      </c>
      <c r="AB19" s="4">
        <f t="shared" si="1"/>
        <v>0</v>
      </c>
      <c r="AC19" s="4">
        <f t="shared" si="2"/>
        <v>0</v>
      </c>
      <c r="AD19" s="4">
        <f t="shared" si="3"/>
        <v>0</v>
      </c>
      <c r="AE19" s="10">
        <f t="shared" si="4"/>
        <v>1</v>
      </c>
      <c r="AJ19" s="8"/>
    </row>
    <row r="20" spans="1:39" x14ac:dyDescent="0.3">
      <c r="A20" s="51">
        <v>9</v>
      </c>
      <c r="B20" s="9">
        <f>Enero!B20</f>
        <v>7</v>
      </c>
      <c r="C20" s="12" t="str">
        <f>Enero!C20</f>
        <v>Jiménez Muñoz Alejandro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59"/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76"/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76"/>
      <c r="V20" s="1">
        <v>1</v>
      </c>
      <c r="W20" s="1">
        <v>1</v>
      </c>
      <c r="X20" s="1">
        <v>1</v>
      </c>
      <c r="Y20" s="1">
        <v>1</v>
      </c>
      <c r="Z20" s="76"/>
      <c r="AA20" s="4">
        <f t="shared" si="0"/>
        <v>19</v>
      </c>
      <c r="AB20" s="4">
        <f t="shared" si="1"/>
        <v>0</v>
      </c>
      <c r="AC20" s="4">
        <f t="shared" si="2"/>
        <v>0</v>
      </c>
      <c r="AD20" s="4">
        <f t="shared" si="3"/>
        <v>0</v>
      </c>
      <c r="AE20" s="10">
        <f t="shared" si="4"/>
        <v>1</v>
      </c>
      <c r="AJ20" s="8"/>
      <c r="AK20" s="3"/>
      <c r="AL20" s="3"/>
      <c r="AM20" s="3"/>
    </row>
    <row r="21" spans="1:39" x14ac:dyDescent="0.3">
      <c r="A21" s="51">
        <v>10</v>
      </c>
      <c r="B21" s="9">
        <f>Enero!B21</f>
        <v>7</v>
      </c>
      <c r="C21" s="12" t="str">
        <f>Enero!C21</f>
        <v>Rodríguez Correa Dubian Esteban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59"/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76"/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76"/>
      <c r="V21" s="1">
        <v>1</v>
      </c>
      <c r="W21" s="1">
        <v>1</v>
      </c>
      <c r="X21" s="1">
        <v>1</v>
      </c>
      <c r="Y21" s="1">
        <v>1</v>
      </c>
      <c r="Z21" s="76"/>
      <c r="AA21" s="4">
        <f t="shared" si="0"/>
        <v>19</v>
      </c>
      <c r="AB21" s="4">
        <f t="shared" si="1"/>
        <v>0</v>
      </c>
      <c r="AC21" s="4">
        <f t="shared" si="2"/>
        <v>0</v>
      </c>
      <c r="AD21" s="4">
        <f t="shared" si="3"/>
        <v>0</v>
      </c>
      <c r="AE21" s="10">
        <f t="shared" si="4"/>
        <v>1</v>
      </c>
      <c r="AJ21" s="7"/>
    </row>
    <row r="22" spans="1:39" x14ac:dyDescent="0.3">
      <c r="A22" s="51">
        <v>11</v>
      </c>
      <c r="B22" s="9">
        <f>Enero!B22</f>
        <v>7</v>
      </c>
      <c r="C22" s="12" t="str">
        <f>Enero!C22</f>
        <v>Valencia Virgen Alexandra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59"/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76"/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76"/>
      <c r="V22" s="1">
        <v>1</v>
      </c>
      <c r="W22" s="1">
        <v>1</v>
      </c>
      <c r="X22" s="1">
        <v>1</v>
      </c>
      <c r="Y22" s="1">
        <v>1</v>
      </c>
      <c r="Z22" s="76"/>
      <c r="AA22" s="4">
        <f t="shared" si="0"/>
        <v>19</v>
      </c>
      <c r="AB22" s="4">
        <f t="shared" si="1"/>
        <v>0</v>
      </c>
      <c r="AC22" s="4">
        <f t="shared" si="2"/>
        <v>0</v>
      </c>
      <c r="AD22" s="4">
        <f t="shared" si="3"/>
        <v>0</v>
      </c>
      <c r="AE22" s="10">
        <f t="shared" si="4"/>
        <v>1</v>
      </c>
    </row>
    <row r="23" spans="1:39" x14ac:dyDescent="0.3">
      <c r="A23" s="51">
        <v>12</v>
      </c>
      <c r="B23" s="9">
        <f>Enero!B23</f>
        <v>8</v>
      </c>
      <c r="C23" s="12" t="str">
        <f>Enero!C23</f>
        <v>Caviedes Hernández Juan Manuel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59"/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76"/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76"/>
      <c r="V23" s="1">
        <v>1</v>
      </c>
      <c r="W23" s="1">
        <v>1</v>
      </c>
      <c r="X23" s="1">
        <v>1</v>
      </c>
      <c r="Y23" s="1">
        <v>1</v>
      </c>
      <c r="Z23" s="76"/>
      <c r="AA23" s="4">
        <f t="shared" si="0"/>
        <v>19</v>
      </c>
      <c r="AB23" s="4">
        <f t="shared" si="1"/>
        <v>0</v>
      </c>
      <c r="AC23" s="4">
        <f t="shared" si="2"/>
        <v>0</v>
      </c>
      <c r="AD23" s="4">
        <f t="shared" si="3"/>
        <v>0</v>
      </c>
      <c r="AE23" s="10">
        <f t="shared" si="4"/>
        <v>1</v>
      </c>
    </row>
    <row r="24" spans="1:39" x14ac:dyDescent="0.3">
      <c r="A24" s="51">
        <v>13</v>
      </c>
      <c r="B24" s="9">
        <f>Enero!B24</f>
        <v>8</v>
      </c>
      <c r="C24" s="12" t="str">
        <f>Enero!C24</f>
        <v>Orozco Chavarría Cristóbal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59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76"/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76"/>
      <c r="V24" s="1">
        <v>1</v>
      </c>
      <c r="W24" s="1">
        <v>1</v>
      </c>
      <c r="X24" s="1">
        <v>1</v>
      </c>
      <c r="Y24" s="1">
        <v>1</v>
      </c>
      <c r="Z24" s="76"/>
      <c r="AA24" s="4">
        <f t="shared" si="0"/>
        <v>19</v>
      </c>
      <c r="AB24" s="4">
        <f t="shared" si="1"/>
        <v>0</v>
      </c>
      <c r="AC24" s="4">
        <f t="shared" si="2"/>
        <v>0</v>
      </c>
      <c r="AD24" s="4">
        <f t="shared" si="3"/>
        <v>0</v>
      </c>
      <c r="AE24" s="10">
        <f t="shared" si="4"/>
        <v>1</v>
      </c>
    </row>
    <row r="25" spans="1:39" x14ac:dyDescent="0.3">
      <c r="A25" s="51">
        <v>14</v>
      </c>
      <c r="B25" s="9">
        <f>Enero!B25</f>
        <v>8</v>
      </c>
      <c r="C25" s="12" t="str">
        <f>Enero!C25</f>
        <v>Velásquez Muñoz Anyely Tatiana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59"/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76"/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76"/>
      <c r="V25" s="1">
        <v>1</v>
      </c>
      <c r="W25" s="1">
        <v>1</v>
      </c>
      <c r="X25" s="1">
        <v>1</v>
      </c>
      <c r="Y25" s="1">
        <v>1</v>
      </c>
      <c r="Z25" s="76"/>
      <c r="AA25" s="4">
        <f t="shared" si="0"/>
        <v>19</v>
      </c>
      <c r="AB25" s="4">
        <f t="shared" si="1"/>
        <v>0</v>
      </c>
      <c r="AC25" s="4">
        <f t="shared" si="2"/>
        <v>0</v>
      </c>
      <c r="AD25" s="4">
        <f t="shared" si="3"/>
        <v>0</v>
      </c>
      <c r="AE25" s="10">
        <f t="shared" si="4"/>
        <v>1</v>
      </c>
    </row>
    <row r="26" spans="1:39" x14ac:dyDescent="0.3">
      <c r="A26" s="51">
        <v>15</v>
      </c>
      <c r="B26" s="9">
        <f>Enero!B26</f>
        <v>9</v>
      </c>
      <c r="C26" s="12" t="str">
        <f>Enero!C26</f>
        <v>Dávila Bedoya Evelin Sofía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59"/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76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76"/>
      <c r="V26" s="1">
        <v>0</v>
      </c>
      <c r="W26" s="1">
        <v>0</v>
      </c>
      <c r="X26" s="1">
        <v>0</v>
      </c>
      <c r="Y26" s="1">
        <v>0</v>
      </c>
      <c r="Z26" s="76"/>
      <c r="AA26" s="4">
        <f t="shared" si="0"/>
        <v>0</v>
      </c>
      <c r="AB26" s="4">
        <f t="shared" si="1"/>
        <v>19</v>
      </c>
      <c r="AC26" s="4">
        <f t="shared" si="2"/>
        <v>0</v>
      </c>
      <c r="AD26" s="4">
        <f t="shared" si="3"/>
        <v>0</v>
      </c>
      <c r="AE26" s="10">
        <f t="shared" si="4"/>
        <v>0</v>
      </c>
    </row>
    <row r="27" spans="1:39" x14ac:dyDescent="0.3">
      <c r="A27" s="51">
        <v>16</v>
      </c>
      <c r="B27" s="9">
        <f>Enero!B27</f>
        <v>9</v>
      </c>
      <c r="C27" s="12" t="str">
        <f>Enero!C27</f>
        <v>Duque Aristizabal Ángel Gabriel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59"/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76"/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76"/>
      <c r="V27" s="1">
        <v>1</v>
      </c>
      <c r="W27" s="1">
        <v>1</v>
      </c>
      <c r="X27" s="1">
        <v>1</v>
      </c>
      <c r="Y27" s="1">
        <v>1</v>
      </c>
      <c r="Z27" s="76"/>
      <c r="AA27" s="4">
        <f t="shared" si="0"/>
        <v>19</v>
      </c>
      <c r="AB27" s="4">
        <f t="shared" si="1"/>
        <v>0</v>
      </c>
      <c r="AC27" s="4">
        <f t="shared" si="2"/>
        <v>0</v>
      </c>
      <c r="AD27" s="4">
        <f t="shared" si="3"/>
        <v>0</v>
      </c>
      <c r="AE27" s="10">
        <f t="shared" si="4"/>
        <v>1</v>
      </c>
    </row>
    <row r="28" spans="1:39" x14ac:dyDescent="0.3">
      <c r="A28" s="51">
        <v>17</v>
      </c>
      <c r="B28" s="9">
        <f>Enero!B28</f>
        <v>9</v>
      </c>
      <c r="C28" s="12" t="str">
        <f>Enero!C28</f>
        <v>Eusse Castañeda María Fernanda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59"/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76"/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76"/>
      <c r="V28" s="1">
        <v>1</v>
      </c>
      <c r="W28" s="1">
        <v>1</v>
      </c>
      <c r="X28" s="1">
        <v>1</v>
      </c>
      <c r="Y28" s="1">
        <v>1</v>
      </c>
      <c r="Z28" s="76"/>
      <c r="AA28" s="4">
        <f t="shared" si="0"/>
        <v>19</v>
      </c>
      <c r="AB28" s="4">
        <f t="shared" si="1"/>
        <v>0</v>
      </c>
      <c r="AC28" s="4">
        <f t="shared" si="2"/>
        <v>0</v>
      </c>
      <c r="AD28" s="4">
        <f t="shared" si="3"/>
        <v>0</v>
      </c>
      <c r="AE28" s="10">
        <f t="shared" si="4"/>
        <v>1</v>
      </c>
    </row>
    <row r="29" spans="1:39" x14ac:dyDescent="0.3">
      <c r="A29" s="51">
        <v>18</v>
      </c>
      <c r="B29" s="9">
        <f>Enero!B29</f>
        <v>9</v>
      </c>
      <c r="C29" s="12" t="str">
        <f>Enero!C29</f>
        <v>Franco Barraza Gyshet Johanna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59"/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76"/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76"/>
      <c r="V29" s="1">
        <v>1</v>
      </c>
      <c r="W29" s="1">
        <v>1</v>
      </c>
      <c r="X29" s="1">
        <v>1</v>
      </c>
      <c r="Y29" s="1">
        <v>1</v>
      </c>
      <c r="Z29" s="76"/>
      <c r="AA29" s="4">
        <f t="shared" si="0"/>
        <v>19</v>
      </c>
      <c r="AB29" s="4">
        <f t="shared" si="1"/>
        <v>0</v>
      </c>
      <c r="AC29" s="4">
        <f t="shared" si="2"/>
        <v>0</v>
      </c>
      <c r="AD29" s="4">
        <f t="shared" si="3"/>
        <v>0</v>
      </c>
      <c r="AE29" s="10">
        <f t="shared" si="4"/>
        <v>1</v>
      </c>
    </row>
    <row r="30" spans="1:39" x14ac:dyDescent="0.3">
      <c r="A30" s="51">
        <v>19</v>
      </c>
      <c r="B30" s="9">
        <f>Enero!B30</f>
        <v>9</v>
      </c>
      <c r="C30" s="12" t="str">
        <f>Enero!C30</f>
        <v>Giraldo Giraldo Juan Camilo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59"/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76"/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76"/>
      <c r="V30" s="1">
        <v>1</v>
      </c>
      <c r="W30" s="1">
        <v>1</v>
      </c>
      <c r="X30" s="1">
        <v>1</v>
      </c>
      <c r="Y30" s="1">
        <v>1</v>
      </c>
      <c r="Z30" s="76"/>
      <c r="AA30" s="4">
        <f t="shared" si="0"/>
        <v>19</v>
      </c>
      <c r="AB30" s="4">
        <f t="shared" si="1"/>
        <v>0</v>
      </c>
      <c r="AC30" s="4">
        <f t="shared" si="2"/>
        <v>0</v>
      </c>
      <c r="AD30" s="4">
        <f t="shared" si="3"/>
        <v>0</v>
      </c>
      <c r="AE30" s="10">
        <f t="shared" si="4"/>
        <v>1</v>
      </c>
    </row>
    <row r="31" spans="1:39" x14ac:dyDescent="0.3">
      <c r="A31" s="51">
        <v>20</v>
      </c>
      <c r="B31" s="9">
        <f>Enero!B31</f>
        <v>9</v>
      </c>
      <c r="C31" s="12" t="str">
        <f>Enero!C31</f>
        <v>Gómez Vergara Michael Estiven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59"/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76"/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76"/>
      <c r="V31" s="1">
        <v>1</v>
      </c>
      <c r="W31" s="1">
        <v>1</v>
      </c>
      <c r="X31" s="1">
        <v>1</v>
      </c>
      <c r="Y31" s="1">
        <v>1</v>
      </c>
      <c r="Z31" s="76"/>
      <c r="AA31" s="4">
        <f t="shared" si="0"/>
        <v>19</v>
      </c>
      <c r="AB31" s="4">
        <f t="shared" si="1"/>
        <v>0</v>
      </c>
      <c r="AC31" s="4">
        <f t="shared" si="2"/>
        <v>0</v>
      </c>
      <c r="AD31" s="4">
        <f t="shared" si="3"/>
        <v>0</v>
      </c>
      <c r="AE31" s="10">
        <f t="shared" si="4"/>
        <v>1</v>
      </c>
    </row>
    <row r="32" spans="1:39" x14ac:dyDescent="0.3">
      <c r="A32" s="51">
        <v>21</v>
      </c>
      <c r="B32" s="9">
        <f>Enero!B32</f>
        <v>9</v>
      </c>
      <c r="C32" s="12" t="str">
        <f>Enero!C32</f>
        <v>López Aguirre Alexis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59"/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76"/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76"/>
      <c r="V32" s="1">
        <v>1</v>
      </c>
      <c r="W32" s="1">
        <v>1</v>
      </c>
      <c r="X32" s="1">
        <v>1</v>
      </c>
      <c r="Y32" s="1">
        <v>1</v>
      </c>
      <c r="Z32" s="76"/>
      <c r="AA32" s="4">
        <f t="shared" si="0"/>
        <v>19</v>
      </c>
      <c r="AB32" s="4">
        <f t="shared" si="1"/>
        <v>0</v>
      </c>
      <c r="AC32" s="4">
        <f t="shared" si="2"/>
        <v>0</v>
      </c>
      <c r="AD32" s="4">
        <f t="shared" si="3"/>
        <v>0</v>
      </c>
      <c r="AE32" s="10">
        <f t="shared" si="4"/>
        <v>1</v>
      </c>
    </row>
    <row r="33" spans="1:31" x14ac:dyDescent="0.3">
      <c r="A33" s="51">
        <v>22</v>
      </c>
      <c r="B33" s="9">
        <f>Enero!B33</f>
        <v>10</v>
      </c>
      <c r="C33" s="12" t="str">
        <f>Enero!C33</f>
        <v>Duque Aristizabal Yennifer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59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76"/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76"/>
      <c r="V33" s="1">
        <v>1</v>
      </c>
      <c r="W33" s="1">
        <v>1</v>
      </c>
      <c r="X33" s="1">
        <v>1</v>
      </c>
      <c r="Y33" s="1">
        <v>1</v>
      </c>
      <c r="Z33" s="76"/>
      <c r="AA33" s="4">
        <f t="shared" si="0"/>
        <v>19</v>
      </c>
      <c r="AB33" s="4">
        <f t="shared" si="1"/>
        <v>0</v>
      </c>
      <c r="AC33" s="4">
        <f t="shared" si="2"/>
        <v>0</v>
      </c>
      <c r="AD33" s="4">
        <f t="shared" si="3"/>
        <v>0</v>
      </c>
      <c r="AE33" s="10">
        <f t="shared" si="4"/>
        <v>1</v>
      </c>
    </row>
    <row r="34" spans="1:31" x14ac:dyDescent="0.3">
      <c r="A34" s="51">
        <v>23</v>
      </c>
      <c r="B34" s="9">
        <f>Enero!B34</f>
        <v>10</v>
      </c>
      <c r="C34" s="12" t="str">
        <f>Enero!C34</f>
        <v>García Navarro Sebastian Camilo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59"/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76"/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76"/>
      <c r="V34" s="1">
        <v>1</v>
      </c>
      <c r="W34" s="1">
        <v>1</v>
      </c>
      <c r="X34" s="1">
        <v>1</v>
      </c>
      <c r="Y34" s="1">
        <v>1</v>
      </c>
      <c r="Z34" s="76"/>
      <c r="AA34" s="4">
        <f t="shared" si="0"/>
        <v>19</v>
      </c>
      <c r="AB34" s="4">
        <f t="shared" si="1"/>
        <v>0</v>
      </c>
      <c r="AC34" s="4">
        <f t="shared" si="2"/>
        <v>0</v>
      </c>
      <c r="AD34" s="4">
        <f t="shared" si="3"/>
        <v>0</v>
      </c>
      <c r="AE34" s="10">
        <f t="shared" si="4"/>
        <v>1</v>
      </c>
    </row>
    <row r="35" spans="1:31" x14ac:dyDescent="0.3">
      <c r="A35" s="51">
        <v>24</v>
      </c>
      <c r="B35" s="9">
        <f>Enero!B35</f>
        <v>10</v>
      </c>
      <c r="C35" s="12" t="str">
        <f>Enero!C35</f>
        <v>Gallego Giraldo Marlon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59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76"/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76"/>
      <c r="V35" s="1">
        <v>1</v>
      </c>
      <c r="W35" s="1">
        <v>1</v>
      </c>
      <c r="X35" s="1">
        <v>1</v>
      </c>
      <c r="Y35" s="1">
        <v>1</v>
      </c>
      <c r="Z35" s="76"/>
      <c r="AA35" s="4">
        <f t="shared" si="0"/>
        <v>19</v>
      </c>
      <c r="AB35" s="4">
        <f t="shared" si="1"/>
        <v>0</v>
      </c>
      <c r="AC35" s="4">
        <f t="shared" si="2"/>
        <v>0</v>
      </c>
      <c r="AD35" s="4">
        <f t="shared" si="3"/>
        <v>0</v>
      </c>
      <c r="AE35" s="10">
        <f t="shared" si="4"/>
        <v>1</v>
      </c>
    </row>
    <row r="36" spans="1:31" x14ac:dyDescent="0.3">
      <c r="A36" s="51">
        <v>25</v>
      </c>
      <c r="B36" s="9">
        <f>Enero!B36</f>
        <v>10</v>
      </c>
      <c r="C36" s="12" t="str">
        <f>Enero!C36</f>
        <v>Gómez Pamplona Julieta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60"/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64"/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64"/>
      <c r="V36" s="1">
        <v>1</v>
      </c>
      <c r="W36" s="1">
        <v>1</v>
      </c>
      <c r="X36" s="1">
        <v>1</v>
      </c>
      <c r="Y36" s="1">
        <v>1</v>
      </c>
      <c r="Z36" s="64"/>
      <c r="AA36" s="4">
        <f t="shared" si="0"/>
        <v>19</v>
      </c>
      <c r="AB36" s="4">
        <f t="shared" si="1"/>
        <v>0</v>
      </c>
      <c r="AC36" s="4">
        <f t="shared" si="2"/>
        <v>0</v>
      </c>
      <c r="AD36" s="4">
        <f t="shared" si="3"/>
        <v>0</v>
      </c>
      <c r="AE36" s="10">
        <f t="shared" si="4"/>
        <v>1</v>
      </c>
    </row>
    <row r="37" spans="1:31" x14ac:dyDescent="0.3">
      <c r="A37" s="51">
        <v>26</v>
      </c>
      <c r="B37" s="9">
        <f>Enero!B37</f>
        <v>10</v>
      </c>
      <c r="C37" s="12" t="str">
        <f>Enero!C37</f>
        <v>González Martínez Salomé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V37" s="1">
        <v>1</v>
      </c>
      <c r="W37" s="1">
        <v>1</v>
      </c>
      <c r="X37" s="1">
        <v>1</v>
      </c>
      <c r="Y37" s="1">
        <v>1</v>
      </c>
    </row>
    <row r="38" spans="1:31" x14ac:dyDescent="0.3">
      <c r="A38" s="51">
        <v>27</v>
      </c>
      <c r="B38" s="9">
        <v>10</v>
      </c>
      <c r="C38" s="12" t="s">
        <v>56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V38" s="1">
        <v>1</v>
      </c>
      <c r="W38" s="1">
        <v>1</v>
      </c>
      <c r="X38" s="1">
        <v>1</v>
      </c>
      <c r="Y38" s="1">
        <v>1</v>
      </c>
    </row>
    <row r="39" spans="1:31" x14ac:dyDescent="0.3">
      <c r="A39" s="51">
        <v>28</v>
      </c>
      <c r="B39" s="9">
        <f>Enero!B39</f>
        <v>10</v>
      </c>
      <c r="C39" s="12" t="str">
        <f>Enero!C39</f>
        <v>Valencia Vásquez Anderson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V39" s="1">
        <v>1</v>
      </c>
      <c r="W39" s="1">
        <v>1</v>
      </c>
      <c r="X39" s="1">
        <v>1</v>
      </c>
      <c r="Y39" s="1">
        <v>1</v>
      </c>
    </row>
    <row r="40" spans="1:31" x14ac:dyDescent="0.3">
      <c r="A40" s="51">
        <v>29</v>
      </c>
      <c r="B40" s="9">
        <f>Enero!B40</f>
        <v>11</v>
      </c>
      <c r="C40" s="12" t="str">
        <f>Enero!C40</f>
        <v>Caviedes Hernández Cristina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V40" s="1">
        <v>1</v>
      </c>
      <c r="W40" s="1">
        <v>1</v>
      </c>
      <c r="X40" s="1">
        <v>1</v>
      </c>
      <c r="Y40" s="1">
        <v>1</v>
      </c>
    </row>
  </sheetData>
  <mergeCells count="25">
    <mergeCell ref="A1:AE1"/>
    <mergeCell ref="AD2:AE7"/>
    <mergeCell ref="A8:AE8"/>
    <mergeCell ref="Y9:AE9"/>
    <mergeCell ref="AC10:AE10"/>
    <mergeCell ref="A2:B7"/>
    <mergeCell ref="A10:B10"/>
    <mergeCell ref="C10:J10"/>
    <mergeCell ref="K10:S10"/>
    <mergeCell ref="T10:Z10"/>
    <mergeCell ref="AA10:AB10"/>
    <mergeCell ref="A9:B9"/>
    <mergeCell ref="C9:G9"/>
    <mergeCell ref="H9:J9"/>
    <mergeCell ref="K9:S9"/>
    <mergeCell ref="C2:Z6"/>
    <mergeCell ref="AA2:AC3"/>
    <mergeCell ref="AA4:AC5"/>
    <mergeCell ref="AA6:AC7"/>
    <mergeCell ref="C7:Z7"/>
    <mergeCell ref="AH11:AO11"/>
    <mergeCell ref="I11:I36"/>
    <mergeCell ref="O11:O36"/>
    <mergeCell ref="U11:U36"/>
    <mergeCell ref="Z11:Z36"/>
  </mergeCells>
  <conditionalFormatting sqref="I11 O11 U11">
    <cfRule type="cellIs" dxfId="208" priority="109" stopIfTrue="1" operator="equal">
      <formula>"T"</formula>
    </cfRule>
  </conditionalFormatting>
  <conditionalFormatting sqref="I11 P12:T40 V12:Y40 I14:I36">
    <cfRule type="cellIs" dxfId="207" priority="228" operator="equal">
      <formula>"J"</formula>
    </cfRule>
  </conditionalFormatting>
  <conditionalFormatting sqref="I11 V12:Y25 J12:N40 P12:T40 Z11">
    <cfRule type="cellIs" dxfId="206" priority="114" operator="equal">
      <formula>"T"</formula>
    </cfRule>
  </conditionalFormatting>
  <conditionalFormatting sqref="I12:N12 D12:H40 E13:I13 J13:N40">
    <cfRule type="cellIs" dxfId="205" priority="108" operator="equal">
      <formula>"J"</formula>
    </cfRule>
  </conditionalFormatting>
  <conditionalFormatting sqref="I12:Y12 J13:N40 P13:T40 U13:Y27 V28:Y40 D12:H40 I13:I36 O13:O36 U28:U36">
    <cfRule type="cellIs" dxfId="204" priority="106" stopIfTrue="1" operator="equal">
      <formula>"T"</formula>
    </cfRule>
  </conditionalFormatting>
  <conditionalFormatting sqref="P12:T40">
    <cfRule type="cellIs" dxfId="203" priority="88" operator="equal">
      <formula>"J"</formula>
    </cfRule>
  </conditionalFormatting>
  <conditionalFormatting sqref="V12:Y40">
    <cfRule type="cellIs" dxfId="202" priority="2" operator="equal">
      <formula>"J"</formula>
    </cfRule>
  </conditionalFormatting>
  <conditionalFormatting sqref="V26:Y40">
    <cfRule type="cellIs" dxfId="201" priority="4" operator="equal">
      <formula>"T"</formula>
    </cfRule>
  </conditionalFormatting>
  <dataValidations count="1">
    <dataValidation type="list" allowBlank="1" showInputMessage="1" showErrorMessage="1" sqref="D12:H40 J12:N40 P12:T40 V12:Y40" xr:uid="{B69C3273-2A6E-4F7C-9504-937953128F73}">
      <formula1>$AI$12:$AI$15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7" id="{693023AF-7A5B-431D-BAAA-6E80ECD76B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D12:H40</xm:sqref>
        </x14:conditionalFormatting>
        <x14:conditionalFormatting xmlns:xm="http://schemas.microsoft.com/office/excel/2006/main">
          <x14:cfRule type="iconSet" priority="227" id="{32FB50A4-A9F1-4218-8E2C-BDB59FF628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I12:N12 I13:I36 J13:N40 P12:T40 V12:Y40</xm:sqref>
        </x14:conditionalFormatting>
        <x14:conditionalFormatting xmlns:xm="http://schemas.microsoft.com/office/excel/2006/main">
          <x14:cfRule type="iconSet" priority="217" id="{727E1D10-C118-4F79-8D14-57A1A9C122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J12:N40 P12:T40 V12:Y12</xm:sqref>
        </x14:conditionalFormatting>
        <x14:conditionalFormatting xmlns:xm="http://schemas.microsoft.com/office/excel/2006/main">
          <x14:cfRule type="iconSet" priority="208" id="{F29C58D5-945B-4C3C-827F-4B53B117C3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I11 O11 U11 I13:I36 O13:O36 J13:N40 P13:T40 I12:Y12 U13:Y27 U28:U36 V28:Y40</xm:sqref>
        </x14:conditionalFormatting>
        <x14:conditionalFormatting xmlns:xm="http://schemas.microsoft.com/office/excel/2006/main">
          <x14:cfRule type="iconSet" priority="104" id="{51DAC1A5-DBDF-457C-9107-D506A1C610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" id="{86F4A0A7-4C74-4F1E-85C7-8ADED1E164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J26</xm:sqref>
        </x14:conditionalFormatting>
        <x14:conditionalFormatting xmlns:xm="http://schemas.microsoft.com/office/excel/2006/main">
          <x14:cfRule type="iconSet" priority="105" id="{0F51CCFC-BA82-4C57-9588-3BF3CE5F48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J12:N40</xm:sqref>
        </x14:conditionalFormatting>
        <x14:conditionalFormatting xmlns:xm="http://schemas.microsoft.com/office/excel/2006/main">
          <x14:cfRule type="iconSet" priority="99" id="{C6B3F41B-303C-4043-9DAA-95D5374AA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K26</xm:sqref>
        </x14:conditionalFormatting>
        <x14:conditionalFormatting xmlns:xm="http://schemas.microsoft.com/office/excel/2006/main">
          <x14:cfRule type="iconSet" priority="101" id="{1580CA9E-9107-4EF5-B7E9-603B5A4183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102" id="{DCA61894-5514-41CD-9ED2-EE66CDB32B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M26</xm:sqref>
        </x14:conditionalFormatting>
        <x14:conditionalFormatting xmlns:xm="http://schemas.microsoft.com/office/excel/2006/main">
          <x14:cfRule type="iconSet" priority="103" id="{94CDFAAF-545C-415D-B716-F5D2DC537B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N26</xm:sqref>
        </x14:conditionalFormatting>
        <x14:conditionalFormatting xmlns:xm="http://schemas.microsoft.com/office/excel/2006/main">
          <x14:cfRule type="iconSet" priority="82" id="{6B6830CB-4D11-4E8A-BAEC-452D180EA2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6" id="{4737FFCD-9F63-46C0-8829-26AD14507E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P13</xm:sqref>
        </x14:conditionalFormatting>
        <x14:conditionalFormatting xmlns:xm="http://schemas.microsoft.com/office/excel/2006/main">
          <x14:cfRule type="iconSet" priority="94" id="{41914428-BF1B-497F-A288-3D9234A187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0" id="{1277C6B8-2CFE-4A71-BA5A-8DB693DE8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P26</xm:sqref>
        </x14:conditionalFormatting>
        <x14:conditionalFormatting xmlns:xm="http://schemas.microsoft.com/office/excel/2006/main">
          <x14:cfRule type="iconSet" priority="97" id="{4B2237B5-1E93-4E7A-8CF7-8EA1419268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P12:T40</xm:sqref>
        </x14:conditionalFormatting>
        <x14:conditionalFormatting xmlns:xm="http://schemas.microsoft.com/office/excel/2006/main">
          <x14:cfRule type="iconSet" priority="87" id="{BCE3A853-5D74-4193-9501-1FF3EF3B66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P13:T13</xm:sqref>
        </x14:conditionalFormatting>
        <x14:conditionalFormatting xmlns:xm="http://schemas.microsoft.com/office/excel/2006/main">
          <x14:cfRule type="iconSet" priority="95" id="{FD5A2D1D-16D6-4240-8850-8A25CFF0D3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P26:T26</xm:sqref>
        </x14:conditionalFormatting>
        <x14:conditionalFormatting xmlns:xm="http://schemas.microsoft.com/office/excel/2006/main">
          <x14:cfRule type="iconSet" priority="81" id="{901F976C-7801-4C97-B4F8-EDBB27580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Q13</xm:sqref>
        </x14:conditionalFormatting>
        <x14:conditionalFormatting xmlns:xm="http://schemas.microsoft.com/office/excel/2006/main">
          <x14:cfRule type="iconSet" priority="89" id="{0A8F7EC5-9927-44E9-B4E3-FC8AAB572E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Q26</xm:sqref>
        </x14:conditionalFormatting>
        <x14:conditionalFormatting xmlns:xm="http://schemas.microsoft.com/office/excel/2006/main">
          <x14:cfRule type="iconSet" priority="83" id="{29FD8DD7-451E-4021-9BC2-193590159F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R13</xm:sqref>
        </x14:conditionalFormatting>
        <x14:conditionalFormatting xmlns:xm="http://schemas.microsoft.com/office/excel/2006/main">
          <x14:cfRule type="iconSet" priority="91" id="{6EEB2EA1-0815-4BCD-93EC-4F21694C8C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R26</xm:sqref>
        </x14:conditionalFormatting>
        <x14:conditionalFormatting xmlns:xm="http://schemas.microsoft.com/office/excel/2006/main">
          <x14:cfRule type="iconSet" priority="84" id="{79192B65-E2FE-434D-B5B0-D772E37C1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S13</xm:sqref>
        </x14:conditionalFormatting>
        <x14:conditionalFormatting xmlns:xm="http://schemas.microsoft.com/office/excel/2006/main">
          <x14:cfRule type="iconSet" priority="92" id="{0AED2138-80D1-444D-877D-C89C834843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S26</xm:sqref>
        </x14:conditionalFormatting>
        <x14:conditionalFormatting xmlns:xm="http://schemas.microsoft.com/office/excel/2006/main">
          <x14:cfRule type="iconSet" priority="85" id="{F67B06EA-B934-4FF3-A458-183847D53A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T13</xm:sqref>
        </x14:conditionalFormatting>
        <x14:conditionalFormatting xmlns:xm="http://schemas.microsoft.com/office/excel/2006/main">
          <x14:cfRule type="iconSet" priority="93" id="{220BC057-5388-430D-ACFC-F62DAB2DEB8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T26</xm:sqref>
        </x14:conditionalFormatting>
        <x14:conditionalFormatting xmlns:xm="http://schemas.microsoft.com/office/excel/2006/main">
          <x14:cfRule type="iconSet" priority="79" id="{3836D0CD-FBD4-42A2-87CA-F53AE58C59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V12</xm:sqref>
        </x14:conditionalFormatting>
        <x14:conditionalFormatting xmlns:xm="http://schemas.microsoft.com/office/excel/2006/main">
          <x14:cfRule type="iconSet" priority="55" id="{7A53E538-7852-4117-9999-4085F03397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" id="{B0BF25C4-D9F4-44E3-AAD3-3CABA0F6BC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" id="{73DB9640-8205-458A-BD2C-61AF00FD87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8" id="{2DA447A3-91A0-4389-BBAC-CF8B3DBC9E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V13</xm:sqref>
        </x14:conditionalFormatting>
        <x14:conditionalFormatting xmlns:xm="http://schemas.microsoft.com/office/excel/2006/main">
          <x14:cfRule type="iconSet" priority="70" id="{7149B9BD-1A3E-448E-AAEE-11793EC3D8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2" id="{00C518E6-80FA-4161-A2A0-C531B696AC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V14:V25</xm:sqref>
        </x14:conditionalFormatting>
        <x14:conditionalFormatting xmlns:xm="http://schemas.microsoft.com/office/excel/2006/main">
          <x14:cfRule type="iconSet" priority="36" id="{D67E5817-D3D3-4BA6-9B65-ED949152FD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" id="{246A5664-4EC1-43E8-9FC0-7068CAFE09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" id="{01FD7EA2-6429-47CF-967B-B21219DBAF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" id="{959CE47F-8590-43F8-8EE2-22204CBD0E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V26</xm:sqref>
        </x14:conditionalFormatting>
        <x14:conditionalFormatting xmlns:xm="http://schemas.microsoft.com/office/excel/2006/main">
          <x14:cfRule type="iconSet" priority="5" id="{5415EA20-A213-4162-845B-A5F1128ED3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" id="{06B29C48-32CB-4C5A-A90B-10738A2D05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V27:Y27</xm:sqref>
        </x14:conditionalFormatting>
        <x14:conditionalFormatting xmlns:xm="http://schemas.microsoft.com/office/excel/2006/main">
          <x14:cfRule type="iconSet" priority="1" id="{D5951967-BC64-489F-A225-E2DC16D237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" id="{113F613B-44E6-44D1-992E-49F675EFB2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V28:Y40</xm:sqref>
        </x14:conditionalFormatting>
        <x14:conditionalFormatting xmlns:xm="http://schemas.microsoft.com/office/excel/2006/main">
          <x14:cfRule type="iconSet" priority="77" id="{70B3DB18-71A1-4AC7-A6D0-663A0225CB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W12</xm:sqref>
        </x14:conditionalFormatting>
        <x14:conditionalFormatting xmlns:xm="http://schemas.microsoft.com/office/excel/2006/main">
          <x14:cfRule type="iconSet" priority="54" id="{5F611395-7DD2-4B52-9EEA-AE0F63F032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0" id="{FB0A4086-DE1F-4E16-BF06-0F3DC18C1E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" id="{9951E48B-BC3B-425F-8374-A77D50F0B0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9" id="{AAB7D9B5-31CD-4AD5-9304-9A4601252E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W13</xm:sqref>
        </x14:conditionalFormatting>
        <x14:conditionalFormatting xmlns:xm="http://schemas.microsoft.com/office/excel/2006/main">
          <x14:cfRule type="iconSet" priority="69" id="{D08275DB-A2B3-4CB2-8965-A81CDDCC01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7" id="{4452D523-0EEB-49FE-9EF9-B4A2F3F6DB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W14:W25</xm:sqref>
        </x14:conditionalFormatting>
        <x14:conditionalFormatting xmlns:xm="http://schemas.microsoft.com/office/excel/2006/main">
          <x14:cfRule type="iconSet" priority="26" id="{CF575DE4-E283-44D8-9BEE-DEFBC20016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" id="{6AC82428-0068-49DB-B7B5-51723BFAB5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" id="{CE94402B-DE72-47C1-847D-4D63D31FA1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" id="{BC89C4E7-90B3-44DC-BDC9-D26C66128C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W26</xm:sqref>
        </x14:conditionalFormatting>
        <x14:conditionalFormatting xmlns:xm="http://schemas.microsoft.com/office/excel/2006/main">
          <x14:cfRule type="iconSet" priority="75" id="{EF0C5A92-7F58-4EC5-B79D-9C4A0A015C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X12</xm:sqref>
        </x14:conditionalFormatting>
        <x14:conditionalFormatting xmlns:xm="http://schemas.microsoft.com/office/excel/2006/main">
          <x14:cfRule type="iconSet" priority="48" id="{5ABB6EB9-BACC-452F-860C-3EEAAF1AFE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" id="{3354636B-3335-484C-BD11-BF96479967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4" id="{2B7C0EB6-67BC-4537-8EEC-BD2D5E15D4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" id="{D2AFFF35-627D-4053-9FF6-5C3FCC4E61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X13</xm:sqref>
        </x14:conditionalFormatting>
        <x14:conditionalFormatting xmlns:xm="http://schemas.microsoft.com/office/excel/2006/main">
          <x14:cfRule type="iconSet" priority="66" id="{2627E4ED-D8D1-43F4-9CDD-0D98B1F151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" id="{6BA8FC44-FD80-4875-87F0-FD52BBBB37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X14:X25</xm:sqref>
        </x14:conditionalFormatting>
        <x14:conditionalFormatting xmlns:xm="http://schemas.microsoft.com/office/excel/2006/main">
          <x14:cfRule type="iconSet" priority="22" id="{9CD9E0BF-C2CE-4E30-AE93-20C12FF94A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" id="{D2FFDEF1-49A7-40E4-BC5D-55ECD688A1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" id="{108FFEFD-B6EA-4990-A8DE-AE4E1CD1F0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" id="{665A95CF-9603-4A01-8C22-D9361A0D9B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X26</xm:sqref>
        </x14:conditionalFormatting>
        <x14:conditionalFormatting xmlns:xm="http://schemas.microsoft.com/office/excel/2006/main">
          <x14:cfRule type="iconSet" priority="73" id="{F21DE9E2-E890-4FB9-B5C8-F6FDCF3641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Y12</xm:sqref>
        </x14:conditionalFormatting>
        <x14:conditionalFormatting xmlns:xm="http://schemas.microsoft.com/office/excel/2006/main">
          <x14:cfRule type="iconSet" priority="42" id="{FA125FC5-AA2F-4D36-9A17-7E1B411C5F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0" id="{416FECE1-B52A-4EE7-9AB9-2E054FACF0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" id="{E9B04A9D-CA05-449B-9746-C064009CD6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8" id="{B8186FC3-5E8E-42AC-8AD7-E25A7E4589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Y13</xm:sqref>
        </x14:conditionalFormatting>
        <x14:conditionalFormatting xmlns:xm="http://schemas.microsoft.com/office/excel/2006/main">
          <x14:cfRule type="iconSet" priority="63" id="{0193A6CE-022E-4732-85F9-DD03BCBCAA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1" id="{507ED4CB-06D2-4846-89B9-94DF323FC0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Y14:Y25</xm:sqref>
        </x14:conditionalFormatting>
        <x14:conditionalFormatting xmlns:xm="http://schemas.microsoft.com/office/excel/2006/main">
          <x14:cfRule type="iconSet" priority="15" id="{D059A8C3-F75F-4659-8951-774FC95F6D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" id="{D01427CB-B2A0-4E9C-9FD4-C37EAAE05B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" id="{876F7CCE-5678-41AF-878A-35E53D42B3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" id="{620C2D98-028E-4CD8-993F-9E4481DCAC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3A87-E94B-4056-9BC9-3C6765AB1C86}">
  <sheetPr codeName="Hoja5"/>
  <dimension ref="A1:AO39"/>
  <sheetViews>
    <sheetView topLeftCell="A11" zoomScale="90" zoomScaleNormal="90" workbookViewId="0">
      <selection activeCell="D12" sqref="D12"/>
    </sheetView>
  </sheetViews>
  <sheetFormatPr baseColWidth="10" defaultColWidth="5.33203125" defaultRowHeight="14.4" x14ac:dyDescent="0.3"/>
  <cols>
    <col min="1" max="1" width="3.21875" bestFit="1" customWidth="1"/>
    <col min="2" max="2" width="7.5546875" style="5" bestFit="1" customWidth="1"/>
    <col min="3" max="3" width="35" style="13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25" width="3.21875" customWidth="1"/>
    <col min="26" max="26" width="3.77734375" customWidth="1"/>
    <col min="27" max="27" width="11.77734375" customWidth="1"/>
    <col min="28" max="28" width="7.33203125" bestFit="1" customWidth="1"/>
    <col min="29" max="29" width="7" bestFit="1" customWidth="1"/>
    <col min="30" max="30" width="14.77734375" bestFit="1" customWidth="1"/>
    <col min="31" max="31" width="13.77734375" bestFit="1" customWidth="1"/>
  </cols>
  <sheetData>
    <row r="1" spans="1:41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5"/>
      <c r="AE1" s="66"/>
    </row>
    <row r="2" spans="1:41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65"/>
      <c r="AE2" s="66"/>
    </row>
    <row r="3" spans="1:41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65"/>
      <c r="AE3" s="66"/>
    </row>
    <row r="4" spans="1:41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65"/>
      <c r="AE4" s="66"/>
    </row>
    <row r="5" spans="1:41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65"/>
      <c r="AE5" s="66"/>
    </row>
    <row r="6" spans="1:41" x14ac:dyDescent="0.3">
      <c r="A6" s="59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65"/>
      <c r="AE6" s="66"/>
    </row>
    <row r="7" spans="1:41" x14ac:dyDescent="0.3">
      <c r="A7" s="59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65"/>
      <c r="AE7" s="66"/>
    </row>
    <row r="8" spans="1:41" x14ac:dyDescent="0.3">
      <c r="A8" s="59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6"/>
    </row>
    <row r="9" spans="1:41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3"/>
      <c r="Z9" s="63"/>
      <c r="AA9" s="63"/>
      <c r="AB9" s="63"/>
      <c r="AC9" s="63"/>
      <c r="AD9" s="63"/>
      <c r="AE9" s="63"/>
    </row>
    <row r="10" spans="1:41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3"/>
      <c r="AD10" s="63"/>
      <c r="AE10" s="63"/>
    </row>
    <row r="11" spans="1:41" s="3" customFormat="1" x14ac:dyDescent="0.3">
      <c r="A11" s="6" t="s">
        <v>8</v>
      </c>
      <c r="B11" s="2" t="s">
        <v>7</v>
      </c>
      <c r="C11" s="11" t="s">
        <v>0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58"/>
      <c r="J11" s="1">
        <v>11</v>
      </c>
      <c r="K11" s="1">
        <v>12</v>
      </c>
      <c r="L11" s="1">
        <v>13</v>
      </c>
      <c r="M11" s="1">
        <v>14</v>
      </c>
      <c r="N11" s="1">
        <v>15</v>
      </c>
      <c r="O11" s="75"/>
      <c r="P11" s="1">
        <v>19</v>
      </c>
      <c r="Q11" s="1">
        <v>20</v>
      </c>
      <c r="R11" s="1">
        <v>21</v>
      </c>
      <c r="S11" s="1">
        <v>22</v>
      </c>
      <c r="T11" s="75"/>
      <c r="U11" s="1">
        <v>25</v>
      </c>
      <c r="V11" s="1">
        <v>26</v>
      </c>
      <c r="W11" s="1">
        <v>27</v>
      </c>
      <c r="X11" s="1">
        <v>28</v>
      </c>
      <c r="Y11" s="1">
        <v>29</v>
      </c>
      <c r="Z11" s="75"/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H11" s="55" t="s">
        <v>9</v>
      </c>
      <c r="AI11" s="56"/>
      <c r="AJ11" s="56"/>
      <c r="AK11" s="56"/>
      <c r="AL11" s="56"/>
      <c r="AM11" s="56"/>
      <c r="AN11" s="56"/>
      <c r="AO11" s="57"/>
    </row>
    <row r="12" spans="1:41" s="3" customFormat="1" ht="18" x14ac:dyDescent="0.3">
      <c r="A12" s="6">
        <v>1</v>
      </c>
      <c r="B12" s="52">
        <v>6</v>
      </c>
      <c r="C12" s="12" t="s">
        <v>57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59"/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76"/>
      <c r="P12" s="1">
        <v>1</v>
      </c>
      <c r="Q12" s="1">
        <v>1</v>
      </c>
      <c r="R12" s="1">
        <v>1</v>
      </c>
      <c r="S12" s="1">
        <v>1</v>
      </c>
      <c r="T12" s="76"/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76"/>
      <c r="AA12" s="4">
        <f t="shared" ref="AA12:AA36" si="0">COUNTIF(D12:Y12,1)</f>
        <v>19</v>
      </c>
      <c r="AB12" s="4">
        <f t="shared" ref="AB12:AB36" si="1">COUNTIF(D12:Y12,0)</f>
        <v>0</v>
      </c>
      <c r="AC12" s="4">
        <f t="shared" ref="AC12:AC36" si="2">COUNTIF(D12:Y12,"T")</f>
        <v>0</v>
      </c>
      <c r="AD12" s="4">
        <f t="shared" ref="AD12:AD36" si="3">COUNTIF(D12:Y12,"J")</f>
        <v>0</v>
      </c>
      <c r="AE12" s="10">
        <f>SUM(AA12+AC12)/19</f>
        <v>1</v>
      </c>
      <c r="AH12" s="17"/>
      <c r="AI12" s="14">
        <v>1</v>
      </c>
      <c r="AJ12" s="3" t="s">
        <v>10</v>
      </c>
      <c r="AK12" s="8"/>
      <c r="AL12" s="8"/>
      <c r="AO12" s="18"/>
    </row>
    <row r="13" spans="1:41" s="3" customFormat="1" ht="18" x14ac:dyDescent="0.3">
      <c r="A13" s="6">
        <v>2</v>
      </c>
      <c r="B13" s="52">
        <v>6</v>
      </c>
      <c r="C13" s="12" t="s">
        <v>58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59"/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76"/>
      <c r="P13" s="1">
        <v>1</v>
      </c>
      <c r="Q13" s="1">
        <v>1</v>
      </c>
      <c r="R13" s="1">
        <v>1</v>
      </c>
      <c r="S13" s="1">
        <v>1</v>
      </c>
      <c r="T13" s="76"/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76"/>
      <c r="AA13" s="4">
        <f t="shared" si="0"/>
        <v>19</v>
      </c>
      <c r="AB13" s="4">
        <f t="shared" si="1"/>
        <v>0</v>
      </c>
      <c r="AC13" s="4">
        <f t="shared" si="2"/>
        <v>0</v>
      </c>
      <c r="AD13" s="4">
        <f t="shared" si="3"/>
        <v>0</v>
      </c>
      <c r="AE13" s="10">
        <f t="shared" ref="AE13:AE36" si="4">SUM(AA13+AC13)/19</f>
        <v>1</v>
      </c>
      <c r="AH13" s="17"/>
      <c r="AI13" s="15">
        <v>0</v>
      </c>
      <c r="AJ13" s="3" t="s">
        <v>14</v>
      </c>
      <c r="AO13" s="18"/>
    </row>
    <row r="14" spans="1:41" s="3" customFormat="1" ht="18" x14ac:dyDescent="0.3">
      <c r="A14" s="6">
        <v>3</v>
      </c>
      <c r="B14" s="52">
        <v>6</v>
      </c>
      <c r="C14" s="12" t="s">
        <v>59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59"/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76"/>
      <c r="P14" s="1">
        <v>1</v>
      </c>
      <c r="Q14" s="1">
        <v>1</v>
      </c>
      <c r="R14" s="1">
        <v>1</v>
      </c>
      <c r="S14" s="1">
        <v>1</v>
      </c>
      <c r="T14" s="76"/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76"/>
      <c r="AA14" s="4">
        <f t="shared" si="0"/>
        <v>19</v>
      </c>
      <c r="AB14" s="4">
        <f t="shared" si="1"/>
        <v>0</v>
      </c>
      <c r="AC14" s="4">
        <f t="shared" si="2"/>
        <v>0</v>
      </c>
      <c r="AD14" s="4">
        <f t="shared" si="3"/>
        <v>0</v>
      </c>
      <c r="AE14" s="10">
        <f t="shared" si="4"/>
        <v>1</v>
      </c>
      <c r="AH14" s="17"/>
      <c r="AI14" s="16" t="s">
        <v>11</v>
      </c>
      <c r="AJ14" s="3" t="s">
        <v>12</v>
      </c>
      <c r="AO14" s="18"/>
    </row>
    <row r="15" spans="1:41" ht="18.600000000000001" thickBot="1" x14ac:dyDescent="0.35">
      <c r="A15" s="6">
        <v>4</v>
      </c>
      <c r="B15" s="52">
        <v>7</v>
      </c>
      <c r="C15" s="12" t="s">
        <v>60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59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76"/>
      <c r="P15" s="1">
        <v>1</v>
      </c>
      <c r="Q15" s="1">
        <v>1</v>
      </c>
      <c r="R15" s="1">
        <v>1</v>
      </c>
      <c r="S15" s="1">
        <v>1</v>
      </c>
      <c r="T15" s="76"/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76"/>
      <c r="AA15" s="4">
        <f t="shared" si="0"/>
        <v>19</v>
      </c>
      <c r="AB15" s="4">
        <f t="shared" si="1"/>
        <v>0</v>
      </c>
      <c r="AC15" s="4">
        <f t="shared" si="2"/>
        <v>0</v>
      </c>
      <c r="AD15" s="4">
        <f t="shared" si="3"/>
        <v>0</v>
      </c>
      <c r="AE15" s="10">
        <f t="shared" si="4"/>
        <v>1</v>
      </c>
      <c r="AH15" s="19"/>
      <c r="AI15" s="20" t="s">
        <v>6</v>
      </c>
      <c r="AJ15" s="21" t="s">
        <v>13</v>
      </c>
      <c r="AK15" s="22"/>
      <c r="AL15" s="22"/>
      <c r="AM15" s="22"/>
      <c r="AN15" s="22"/>
      <c r="AO15" s="23"/>
    </row>
    <row r="16" spans="1:41" ht="18" x14ac:dyDescent="0.3">
      <c r="A16" s="6">
        <v>5</v>
      </c>
      <c r="B16" s="52">
        <v>7</v>
      </c>
      <c r="C16" s="12" t="s">
        <v>61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59"/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76"/>
      <c r="P16" s="1">
        <v>1</v>
      </c>
      <c r="Q16" s="1">
        <v>1</v>
      </c>
      <c r="R16" s="1">
        <v>1</v>
      </c>
      <c r="S16" s="1">
        <v>1</v>
      </c>
      <c r="T16" s="76"/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76"/>
      <c r="AA16" s="4">
        <f t="shared" si="0"/>
        <v>19</v>
      </c>
      <c r="AB16" s="4">
        <f t="shared" si="1"/>
        <v>0</v>
      </c>
      <c r="AC16" s="4">
        <f t="shared" si="2"/>
        <v>0</v>
      </c>
      <c r="AD16" s="4">
        <f t="shared" si="3"/>
        <v>0</v>
      </c>
      <c r="AE16" s="10">
        <f t="shared" si="4"/>
        <v>1</v>
      </c>
    </row>
    <row r="17" spans="1:39" ht="18" x14ac:dyDescent="0.3">
      <c r="A17" s="6">
        <v>6</v>
      </c>
      <c r="B17" s="52">
        <v>7</v>
      </c>
      <c r="C17" s="12" t="s">
        <v>62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59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76"/>
      <c r="P17" s="1">
        <v>1</v>
      </c>
      <c r="Q17" s="1">
        <v>1</v>
      </c>
      <c r="R17" s="1">
        <v>1</v>
      </c>
      <c r="S17" s="1">
        <v>1</v>
      </c>
      <c r="T17" s="76"/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76"/>
      <c r="AA17" s="4">
        <f t="shared" si="0"/>
        <v>19</v>
      </c>
      <c r="AB17" s="4">
        <f t="shared" si="1"/>
        <v>0</v>
      </c>
      <c r="AC17" s="4">
        <f t="shared" si="2"/>
        <v>0</v>
      </c>
      <c r="AD17" s="4">
        <f t="shared" si="3"/>
        <v>0</v>
      </c>
      <c r="AE17" s="10">
        <f t="shared" si="4"/>
        <v>1</v>
      </c>
    </row>
    <row r="18" spans="1:39" ht="18" x14ac:dyDescent="0.3">
      <c r="A18" s="6">
        <v>7</v>
      </c>
      <c r="B18" s="52">
        <v>7</v>
      </c>
      <c r="C18" s="12" t="s">
        <v>63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59"/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76"/>
      <c r="P18" s="1">
        <v>1</v>
      </c>
      <c r="Q18" s="1">
        <v>1</v>
      </c>
      <c r="R18" s="1">
        <v>1</v>
      </c>
      <c r="S18" s="1">
        <v>1</v>
      </c>
      <c r="T18" s="76"/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76"/>
      <c r="AA18" s="4">
        <f t="shared" si="0"/>
        <v>19</v>
      </c>
      <c r="AB18" s="4">
        <f t="shared" si="1"/>
        <v>0</v>
      </c>
      <c r="AC18" s="4">
        <f t="shared" si="2"/>
        <v>0</v>
      </c>
      <c r="AD18" s="4">
        <f t="shared" si="3"/>
        <v>0</v>
      </c>
      <c r="AE18" s="10">
        <f t="shared" si="4"/>
        <v>1</v>
      </c>
      <c r="AJ18" s="8"/>
      <c r="AL18" s="3"/>
      <c r="AM18" s="3"/>
    </row>
    <row r="19" spans="1:39" ht="18" x14ac:dyDescent="0.3">
      <c r="A19" s="6">
        <v>8</v>
      </c>
      <c r="B19" s="52">
        <v>7</v>
      </c>
      <c r="C19" s="12" t="s">
        <v>64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59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76"/>
      <c r="P19" s="1">
        <v>1</v>
      </c>
      <c r="Q19" s="1">
        <v>1</v>
      </c>
      <c r="R19" s="1">
        <v>1</v>
      </c>
      <c r="S19" s="1">
        <v>1</v>
      </c>
      <c r="T19" s="76"/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76"/>
      <c r="AA19" s="4">
        <f t="shared" si="0"/>
        <v>19</v>
      </c>
      <c r="AB19" s="4">
        <f t="shared" si="1"/>
        <v>0</v>
      </c>
      <c r="AC19" s="4">
        <f t="shared" si="2"/>
        <v>0</v>
      </c>
      <c r="AD19" s="4">
        <f t="shared" si="3"/>
        <v>0</v>
      </c>
      <c r="AE19" s="10">
        <f t="shared" si="4"/>
        <v>1</v>
      </c>
      <c r="AJ19" s="8"/>
    </row>
    <row r="20" spans="1:39" ht="18" x14ac:dyDescent="0.3">
      <c r="A20" s="6">
        <v>9</v>
      </c>
      <c r="B20" s="52">
        <v>7</v>
      </c>
      <c r="C20" s="12" t="s">
        <v>65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59"/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76"/>
      <c r="P20" s="1">
        <v>1</v>
      </c>
      <c r="Q20" s="1">
        <v>1</v>
      </c>
      <c r="R20" s="1">
        <v>1</v>
      </c>
      <c r="S20" s="1">
        <v>1</v>
      </c>
      <c r="T20" s="76"/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76"/>
      <c r="AA20" s="4">
        <f t="shared" si="0"/>
        <v>19</v>
      </c>
      <c r="AB20" s="4">
        <f t="shared" si="1"/>
        <v>0</v>
      </c>
      <c r="AC20" s="4">
        <f t="shared" si="2"/>
        <v>0</v>
      </c>
      <c r="AD20" s="4">
        <f t="shared" si="3"/>
        <v>0</v>
      </c>
      <c r="AE20" s="10">
        <f t="shared" si="4"/>
        <v>1</v>
      </c>
      <c r="AJ20" s="8"/>
      <c r="AK20" s="3"/>
      <c r="AL20" s="3"/>
      <c r="AM20" s="3"/>
    </row>
    <row r="21" spans="1:39" ht="18" x14ac:dyDescent="0.3">
      <c r="A21" s="6">
        <v>10</v>
      </c>
      <c r="B21" s="52">
        <v>7</v>
      </c>
      <c r="C21" s="12" t="s">
        <v>66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59"/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76"/>
      <c r="P21" s="1">
        <v>1</v>
      </c>
      <c r="Q21" s="1">
        <v>1</v>
      </c>
      <c r="R21" s="1">
        <v>1</v>
      </c>
      <c r="S21" s="1">
        <v>1</v>
      </c>
      <c r="T21" s="76"/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76"/>
      <c r="AA21" s="4">
        <f t="shared" si="0"/>
        <v>19</v>
      </c>
      <c r="AB21" s="4">
        <f t="shared" si="1"/>
        <v>0</v>
      </c>
      <c r="AC21" s="4">
        <f t="shared" si="2"/>
        <v>0</v>
      </c>
      <c r="AD21" s="4">
        <f t="shared" si="3"/>
        <v>0</v>
      </c>
      <c r="AE21" s="10">
        <f t="shared" si="4"/>
        <v>1</v>
      </c>
      <c r="AJ21" s="7"/>
    </row>
    <row r="22" spans="1:39" ht="18" x14ac:dyDescent="0.3">
      <c r="A22" s="6">
        <v>11</v>
      </c>
      <c r="B22" s="52">
        <v>8</v>
      </c>
      <c r="C22" s="12" t="s">
        <v>67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59"/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76"/>
      <c r="P22" s="1">
        <v>1</v>
      </c>
      <c r="Q22" s="1">
        <v>1</v>
      </c>
      <c r="R22" s="1">
        <v>1</v>
      </c>
      <c r="S22" s="1">
        <v>1</v>
      </c>
      <c r="T22" s="76"/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76"/>
      <c r="AA22" s="4">
        <f t="shared" si="0"/>
        <v>19</v>
      </c>
      <c r="AB22" s="4">
        <f t="shared" si="1"/>
        <v>0</v>
      </c>
      <c r="AC22" s="4">
        <f t="shared" si="2"/>
        <v>0</v>
      </c>
      <c r="AD22" s="4">
        <f t="shared" si="3"/>
        <v>0</v>
      </c>
      <c r="AE22" s="10">
        <f t="shared" si="4"/>
        <v>1</v>
      </c>
    </row>
    <row r="23" spans="1:39" ht="18" x14ac:dyDescent="0.3">
      <c r="A23" s="6">
        <v>12</v>
      </c>
      <c r="B23" s="52">
        <v>8</v>
      </c>
      <c r="C23" s="12" t="s">
        <v>68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59"/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76"/>
      <c r="P23" s="1">
        <v>1</v>
      </c>
      <c r="Q23" s="1">
        <v>1</v>
      </c>
      <c r="R23" s="1">
        <v>1</v>
      </c>
      <c r="S23" s="1">
        <v>1</v>
      </c>
      <c r="T23" s="76"/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76"/>
      <c r="AA23" s="4">
        <f t="shared" si="0"/>
        <v>19</v>
      </c>
      <c r="AB23" s="4">
        <f t="shared" si="1"/>
        <v>0</v>
      </c>
      <c r="AC23" s="4">
        <f t="shared" si="2"/>
        <v>0</v>
      </c>
      <c r="AD23" s="4">
        <f t="shared" si="3"/>
        <v>0</v>
      </c>
      <c r="AE23" s="10">
        <f t="shared" si="4"/>
        <v>1</v>
      </c>
    </row>
    <row r="24" spans="1:39" ht="18" x14ac:dyDescent="0.3">
      <c r="A24" s="6">
        <v>13</v>
      </c>
      <c r="B24" s="52">
        <v>8</v>
      </c>
      <c r="C24" s="12" t="s">
        <v>69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59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76"/>
      <c r="P24" s="1">
        <v>1</v>
      </c>
      <c r="Q24" s="1">
        <v>1</v>
      </c>
      <c r="R24" s="1">
        <v>1</v>
      </c>
      <c r="S24" s="1">
        <v>1</v>
      </c>
      <c r="T24" s="76"/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76"/>
      <c r="AA24" s="4">
        <f t="shared" si="0"/>
        <v>19</v>
      </c>
      <c r="AB24" s="4">
        <f t="shared" si="1"/>
        <v>0</v>
      </c>
      <c r="AC24" s="4">
        <f t="shared" si="2"/>
        <v>0</v>
      </c>
      <c r="AD24" s="4">
        <f t="shared" si="3"/>
        <v>0</v>
      </c>
      <c r="AE24" s="10">
        <f t="shared" si="4"/>
        <v>1</v>
      </c>
    </row>
    <row r="25" spans="1:39" ht="18" x14ac:dyDescent="0.3">
      <c r="A25" s="6">
        <v>14</v>
      </c>
      <c r="B25" s="38">
        <v>8</v>
      </c>
      <c r="C25" s="12" t="s">
        <v>70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59"/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76"/>
      <c r="P25" s="1">
        <v>1</v>
      </c>
      <c r="Q25" s="1">
        <v>1</v>
      </c>
      <c r="R25" s="1">
        <v>1</v>
      </c>
      <c r="S25" s="1">
        <v>1</v>
      </c>
      <c r="T25" s="76"/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76"/>
      <c r="AA25" s="4">
        <f t="shared" si="0"/>
        <v>19</v>
      </c>
      <c r="AB25" s="4">
        <f t="shared" si="1"/>
        <v>0</v>
      </c>
      <c r="AC25" s="4">
        <f t="shared" si="2"/>
        <v>0</v>
      </c>
      <c r="AD25" s="4">
        <f t="shared" si="3"/>
        <v>0</v>
      </c>
      <c r="AE25" s="10">
        <f t="shared" si="4"/>
        <v>1</v>
      </c>
    </row>
    <row r="26" spans="1:39" ht="18" x14ac:dyDescent="0.3">
      <c r="A26" s="6">
        <v>15</v>
      </c>
      <c r="B26" s="38">
        <v>8</v>
      </c>
      <c r="C26" s="12" t="s">
        <v>71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59"/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76"/>
      <c r="P26" s="1">
        <v>1</v>
      </c>
      <c r="Q26" s="1">
        <v>1</v>
      </c>
      <c r="R26" s="1">
        <v>1</v>
      </c>
      <c r="S26" s="1">
        <v>1</v>
      </c>
      <c r="T26" s="76"/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76"/>
      <c r="AA26" s="4">
        <f t="shared" si="0"/>
        <v>19</v>
      </c>
      <c r="AB26" s="4">
        <f t="shared" si="1"/>
        <v>0</v>
      </c>
      <c r="AC26" s="4">
        <f t="shared" si="2"/>
        <v>0</v>
      </c>
      <c r="AD26" s="4">
        <f t="shared" si="3"/>
        <v>0</v>
      </c>
      <c r="AE26" s="10">
        <f t="shared" si="4"/>
        <v>1</v>
      </c>
    </row>
    <row r="27" spans="1:39" ht="18" x14ac:dyDescent="0.3">
      <c r="A27" s="6">
        <v>16</v>
      </c>
      <c r="B27" s="38">
        <v>9</v>
      </c>
      <c r="C27" s="12" t="s">
        <v>72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59"/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76"/>
      <c r="P27" s="1">
        <v>1</v>
      </c>
      <c r="Q27" s="1">
        <v>1</v>
      </c>
      <c r="R27" s="1">
        <v>1</v>
      </c>
      <c r="S27" s="1">
        <v>1</v>
      </c>
      <c r="T27" s="76"/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76"/>
      <c r="AA27" s="4">
        <f t="shared" si="0"/>
        <v>19</v>
      </c>
      <c r="AB27" s="4">
        <f t="shared" si="1"/>
        <v>0</v>
      </c>
      <c r="AC27" s="4">
        <f t="shared" si="2"/>
        <v>0</v>
      </c>
      <c r="AD27" s="4">
        <f t="shared" si="3"/>
        <v>0</v>
      </c>
      <c r="AE27" s="10">
        <f t="shared" si="4"/>
        <v>1</v>
      </c>
    </row>
    <row r="28" spans="1:39" ht="18" x14ac:dyDescent="0.3">
      <c r="A28" s="6">
        <v>17</v>
      </c>
      <c r="B28" s="38">
        <v>9</v>
      </c>
      <c r="C28" s="12" t="s">
        <v>73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59"/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76"/>
      <c r="P28" s="1">
        <v>1</v>
      </c>
      <c r="Q28" s="1">
        <v>1</v>
      </c>
      <c r="R28" s="1">
        <v>1</v>
      </c>
      <c r="S28" s="1">
        <v>1</v>
      </c>
      <c r="T28" s="76"/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76"/>
      <c r="AA28" s="4">
        <f t="shared" si="0"/>
        <v>19</v>
      </c>
      <c r="AB28" s="4">
        <f t="shared" si="1"/>
        <v>0</v>
      </c>
      <c r="AC28" s="4">
        <f t="shared" si="2"/>
        <v>0</v>
      </c>
      <c r="AD28" s="4">
        <f t="shared" si="3"/>
        <v>0</v>
      </c>
      <c r="AE28" s="10">
        <f t="shared" si="4"/>
        <v>1</v>
      </c>
    </row>
    <row r="29" spans="1:39" ht="18" x14ac:dyDescent="0.3">
      <c r="A29" s="6">
        <v>18</v>
      </c>
      <c r="B29" s="38">
        <v>9</v>
      </c>
      <c r="C29" s="12" t="s">
        <v>74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59"/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76"/>
      <c r="P29" s="1">
        <v>1</v>
      </c>
      <c r="Q29" s="1">
        <v>1</v>
      </c>
      <c r="R29" s="1">
        <v>1</v>
      </c>
      <c r="S29" s="1">
        <v>1</v>
      </c>
      <c r="T29" s="76"/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76"/>
      <c r="AA29" s="4">
        <f t="shared" si="0"/>
        <v>19</v>
      </c>
      <c r="AB29" s="4">
        <f t="shared" si="1"/>
        <v>0</v>
      </c>
      <c r="AC29" s="4">
        <f t="shared" si="2"/>
        <v>0</v>
      </c>
      <c r="AD29" s="4">
        <f t="shared" si="3"/>
        <v>0</v>
      </c>
      <c r="AE29" s="10">
        <f t="shared" si="4"/>
        <v>1</v>
      </c>
    </row>
    <row r="30" spans="1:39" ht="18" x14ac:dyDescent="0.3">
      <c r="A30" s="6">
        <v>19</v>
      </c>
      <c r="B30" s="38">
        <v>9</v>
      </c>
      <c r="C30" s="12" t="s">
        <v>75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59"/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76"/>
      <c r="P30" s="1">
        <v>1</v>
      </c>
      <c r="Q30" s="1">
        <v>1</v>
      </c>
      <c r="R30" s="1">
        <v>1</v>
      </c>
      <c r="S30" s="1">
        <v>1</v>
      </c>
      <c r="T30" s="76"/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76"/>
      <c r="AA30" s="4">
        <f t="shared" si="0"/>
        <v>19</v>
      </c>
      <c r="AB30" s="4">
        <f t="shared" si="1"/>
        <v>0</v>
      </c>
      <c r="AC30" s="4">
        <f t="shared" si="2"/>
        <v>0</v>
      </c>
      <c r="AD30" s="4">
        <f t="shared" si="3"/>
        <v>0</v>
      </c>
      <c r="AE30" s="10">
        <f t="shared" si="4"/>
        <v>1</v>
      </c>
    </row>
    <row r="31" spans="1:39" ht="18" x14ac:dyDescent="0.3">
      <c r="A31" s="6">
        <v>20</v>
      </c>
      <c r="B31" s="38">
        <v>9</v>
      </c>
      <c r="C31" s="12" t="s">
        <v>76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59"/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76"/>
      <c r="P31" s="1">
        <v>1</v>
      </c>
      <c r="Q31" s="1">
        <v>1</v>
      </c>
      <c r="R31" s="1">
        <v>1</v>
      </c>
      <c r="S31" s="1">
        <v>1</v>
      </c>
      <c r="T31" s="76"/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76"/>
      <c r="AA31" s="4">
        <f t="shared" si="0"/>
        <v>19</v>
      </c>
      <c r="AB31" s="4">
        <f t="shared" si="1"/>
        <v>0</v>
      </c>
      <c r="AC31" s="4">
        <f t="shared" si="2"/>
        <v>0</v>
      </c>
      <c r="AD31" s="4">
        <f t="shared" si="3"/>
        <v>0</v>
      </c>
      <c r="AE31" s="10">
        <f t="shared" si="4"/>
        <v>1</v>
      </c>
    </row>
    <row r="32" spans="1:39" ht="18" x14ac:dyDescent="0.3">
      <c r="A32" s="6">
        <v>21</v>
      </c>
      <c r="B32" s="38">
        <v>10</v>
      </c>
      <c r="C32" s="12" t="s">
        <v>77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59"/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76"/>
      <c r="P32" s="1">
        <v>1</v>
      </c>
      <c r="Q32" s="1">
        <v>1</v>
      </c>
      <c r="R32" s="1">
        <v>1</v>
      </c>
      <c r="S32" s="1">
        <v>1</v>
      </c>
      <c r="T32" s="76"/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76"/>
      <c r="AA32" s="4">
        <f t="shared" si="0"/>
        <v>19</v>
      </c>
      <c r="AB32" s="4">
        <f t="shared" si="1"/>
        <v>0</v>
      </c>
      <c r="AC32" s="4">
        <f t="shared" si="2"/>
        <v>0</v>
      </c>
      <c r="AD32" s="4">
        <f t="shared" si="3"/>
        <v>0</v>
      </c>
      <c r="AE32" s="10">
        <f t="shared" si="4"/>
        <v>1</v>
      </c>
    </row>
    <row r="33" spans="1:31" ht="18" x14ac:dyDescent="0.3">
      <c r="A33" s="6">
        <v>22</v>
      </c>
      <c r="B33" s="38">
        <v>10</v>
      </c>
      <c r="C33" s="12" t="s">
        <v>78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59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76"/>
      <c r="P33" s="1">
        <v>1</v>
      </c>
      <c r="Q33" s="1">
        <v>1</v>
      </c>
      <c r="R33" s="1">
        <v>1</v>
      </c>
      <c r="S33" s="1">
        <v>1</v>
      </c>
      <c r="T33" s="76"/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76"/>
      <c r="AA33" s="4">
        <f t="shared" si="0"/>
        <v>19</v>
      </c>
      <c r="AB33" s="4">
        <f t="shared" si="1"/>
        <v>0</v>
      </c>
      <c r="AC33" s="4">
        <f t="shared" si="2"/>
        <v>0</v>
      </c>
      <c r="AD33" s="4">
        <f t="shared" si="3"/>
        <v>0</v>
      </c>
      <c r="AE33" s="10">
        <f t="shared" si="4"/>
        <v>1</v>
      </c>
    </row>
    <row r="34" spans="1:31" ht="18" x14ac:dyDescent="0.3">
      <c r="A34" s="6">
        <v>23</v>
      </c>
      <c r="B34" s="38">
        <v>10</v>
      </c>
      <c r="C34" s="12" t="s">
        <v>79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59"/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76"/>
      <c r="P34" s="1">
        <v>1</v>
      </c>
      <c r="Q34" s="1">
        <v>1</v>
      </c>
      <c r="R34" s="1">
        <v>1</v>
      </c>
      <c r="S34" s="1">
        <v>1</v>
      </c>
      <c r="T34" s="76"/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76"/>
      <c r="AA34" s="4">
        <f t="shared" si="0"/>
        <v>19</v>
      </c>
      <c r="AB34" s="4">
        <f t="shared" si="1"/>
        <v>0</v>
      </c>
      <c r="AC34" s="4">
        <f t="shared" si="2"/>
        <v>0</v>
      </c>
      <c r="AD34" s="4">
        <f t="shared" si="3"/>
        <v>0</v>
      </c>
      <c r="AE34" s="10">
        <f t="shared" si="4"/>
        <v>1</v>
      </c>
    </row>
    <row r="35" spans="1:31" ht="18" x14ac:dyDescent="0.3">
      <c r="A35" s="6">
        <v>24</v>
      </c>
      <c r="B35" s="38">
        <v>10</v>
      </c>
      <c r="C35" s="12" t="s">
        <v>80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59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76"/>
      <c r="P35" s="1">
        <v>1</v>
      </c>
      <c r="Q35" s="1">
        <v>1</v>
      </c>
      <c r="R35" s="1">
        <v>1</v>
      </c>
      <c r="S35" s="1">
        <v>1</v>
      </c>
      <c r="T35" s="76"/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76"/>
      <c r="AA35" s="4">
        <f t="shared" si="0"/>
        <v>19</v>
      </c>
      <c r="AB35" s="4">
        <f t="shared" si="1"/>
        <v>0</v>
      </c>
      <c r="AC35" s="4">
        <f t="shared" si="2"/>
        <v>0</v>
      </c>
      <c r="AD35" s="4">
        <f t="shared" si="3"/>
        <v>0</v>
      </c>
      <c r="AE35" s="10">
        <f t="shared" si="4"/>
        <v>1</v>
      </c>
    </row>
    <row r="36" spans="1:31" ht="18" x14ac:dyDescent="0.3">
      <c r="A36" s="6">
        <v>25</v>
      </c>
      <c r="B36" s="38">
        <v>10</v>
      </c>
      <c r="C36" s="12" t="s">
        <v>81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60"/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64"/>
      <c r="P36" s="1">
        <v>1</v>
      </c>
      <c r="Q36" s="1">
        <v>1</v>
      </c>
      <c r="R36" s="1">
        <v>1</v>
      </c>
      <c r="S36" s="1">
        <v>1</v>
      </c>
      <c r="T36" s="64"/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64"/>
      <c r="AA36" s="4">
        <f t="shared" si="0"/>
        <v>19</v>
      </c>
      <c r="AB36" s="4">
        <f t="shared" si="1"/>
        <v>0</v>
      </c>
      <c r="AC36" s="4">
        <f t="shared" si="2"/>
        <v>0</v>
      </c>
      <c r="AD36" s="4">
        <f t="shared" si="3"/>
        <v>0</v>
      </c>
      <c r="AE36" s="10">
        <f t="shared" si="4"/>
        <v>1</v>
      </c>
    </row>
    <row r="37" spans="1:31" ht="18" x14ac:dyDescent="0.3">
      <c r="A37" s="6">
        <v>26</v>
      </c>
      <c r="B37" s="38">
        <v>10</v>
      </c>
      <c r="C37" s="12" t="s">
        <v>82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P37" s="1">
        <v>1</v>
      </c>
      <c r="Q37" s="1">
        <v>1</v>
      </c>
      <c r="R37" s="1">
        <v>1</v>
      </c>
      <c r="S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</row>
    <row r="38" spans="1:31" ht="18" x14ac:dyDescent="0.3">
      <c r="A38" s="6">
        <v>27</v>
      </c>
      <c r="B38" s="38">
        <v>10</v>
      </c>
      <c r="C38" s="12" t="s">
        <v>83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P38" s="1">
        <v>1</v>
      </c>
      <c r="Q38" s="1">
        <v>1</v>
      </c>
      <c r="R38" s="1">
        <v>1</v>
      </c>
      <c r="S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</row>
    <row r="39" spans="1:31" ht="18" x14ac:dyDescent="0.3">
      <c r="A39" s="6">
        <v>28</v>
      </c>
      <c r="B39" s="38">
        <v>11</v>
      </c>
      <c r="C39" s="12" t="s">
        <v>84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P39" s="1">
        <v>1</v>
      </c>
      <c r="Q39" s="1">
        <v>1</v>
      </c>
      <c r="R39" s="1">
        <v>1</v>
      </c>
      <c r="S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</row>
  </sheetData>
  <mergeCells count="25">
    <mergeCell ref="C10:J10"/>
    <mergeCell ref="K10:S10"/>
    <mergeCell ref="T10:Z10"/>
    <mergeCell ref="AA10:AB10"/>
    <mergeCell ref="AH11:AO11"/>
    <mergeCell ref="I11:I36"/>
    <mergeCell ref="O11:O36"/>
    <mergeCell ref="T11:T36"/>
    <mergeCell ref="Z11:Z36"/>
    <mergeCell ref="AD1:AE7"/>
    <mergeCell ref="Y9:AE9"/>
    <mergeCell ref="AC10:AE10"/>
    <mergeCell ref="A8:AE8"/>
    <mergeCell ref="A1:B7"/>
    <mergeCell ref="C1:AC1"/>
    <mergeCell ref="A10:B10"/>
    <mergeCell ref="A9:B9"/>
    <mergeCell ref="C9:G9"/>
    <mergeCell ref="H9:J9"/>
    <mergeCell ref="K9:S9"/>
    <mergeCell ref="AA2:AC3"/>
    <mergeCell ref="AA4:AC5"/>
    <mergeCell ref="AA6:AC7"/>
    <mergeCell ref="C7:Z7"/>
    <mergeCell ref="C2:Z6"/>
  </mergeCells>
  <conditionalFormatting sqref="D12:H39">
    <cfRule type="cellIs" dxfId="200" priority="28" stopIfTrue="1" operator="equal">
      <formula>"T"</formula>
    </cfRule>
    <cfRule type="cellIs" dxfId="199" priority="30" operator="equal">
      <formula>"J"</formula>
    </cfRule>
  </conditionalFormatting>
  <conditionalFormatting sqref="D11:Y11 I12:I36 O12:O36 T12:T36">
    <cfRule type="cellIs" dxfId="198" priority="31" stopIfTrue="1" operator="equal">
      <formula>"T"</formula>
    </cfRule>
  </conditionalFormatting>
  <conditionalFormatting sqref="I11 Z11">
    <cfRule type="cellIs" dxfId="197" priority="33" operator="equal">
      <formula>"T"</formula>
    </cfRule>
  </conditionalFormatting>
  <conditionalFormatting sqref="I11:I36">
    <cfRule type="cellIs" dxfId="196" priority="39" operator="equal">
      <formula>"J"</formula>
    </cfRule>
  </conditionalFormatting>
  <conditionalFormatting sqref="J12:N39">
    <cfRule type="cellIs" dxfId="195" priority="25" stopIfTrue="1" operator="equal">
      <formula>"T"</formula>
    </cfRule>
    <cfRule type="cellIs" dxfId="194" priority="27" operator="equal">
      <formula>"J"</formula>
    </cfRule>
  </conditionalFormatting>
  <conditionalFormatting sqref="P12:S39">
    <cfRule type="cellIs" dxfId="193" priority="13" stopIfTrue="1" operator="equal">
      <formula>"T"</formula>
    </cfRule>
    <cfRule type="cellIs" dxfId="192" priority="15" operator="equal">
      <formula>"J"</formula>
    </cfRule>
  </conditionalFormatting>
  <conditionalFormatting sqref="U12:Y39">
    <cfRule type="cellIs" dxfId="191" priority="1" stopIfTrue="1" operator="equal">
      <formula>"T"</formula>
    </cfRule>
    <cfRule type="cellIs" dxfId="190" priority="3" operator="equal">
      <formula>"J"</formula>
    </cfRule>
  </conditionalFormatting>
  <dataValidations count="1">
    <dataValidation type="list" allowBlank="1" showInputMessage="1" showErrorMessage="1" sqref="D12:H39 J12:N39 P12:S39 U12:Y39" xr:uid="{D0B1B2CD-50E5-4A62-B589-99EE610EF4F3}">
      <formula1>$AI$12:$AI$15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48C81532-F15F-4815-9C08-05B1ADF6D8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D12:H39</xm:sqref>
        </x14:conditionalFormatting>
        <x14:conditionalFormatting xmlns:xm="http://schemas.microsoft.com/office/excel/2006/main">
          <x14:cfRule type="iconSet" priority="36" id="{FC26523D-64D9-4DFB-8308-557CA66233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D40:Z63 I37:I39 O37:O39 T37:T39 Z37:Z39</xm:sqref>
        </x14:conditionalFormatting>
        <x14:conditionalFormatting xmlns:xm="http://schemas.microsoft.com/office/excel/2006/main">
          <x14:cfRule type="iconSet" priority="37" id="{DDB21521-AF76-454B-A06E-16BFA86454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</xm:sqref>
        </x14:conditionalFormatting>
        <x14:conditionalFormatting xmlns:xm="http://schemas.microsoft.com/office/excel/2006/main">
          <x14:cfRule type="iconSet" priority="38" id="{02A229BB-7418-4FE5-928C-09ADDD942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I11:I36</xm:sqref>
        </x14:conditionalFormatting>
        <x14:conditionalFormatting xmlns:xm="http://schemas.microsoft.com/office/excel/2006/main">
          <x14:cfRule type="iconSet" priority="26" id="{D3B3B8D7-1541-455E-B531-B8B4ECC838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J12:N39</xm:sqref>
        </x14:conditionalFormatting>
        <x14:conditionalFormatting xmlns:xm="http://schemas.microsoft.com/office/excel/2006/main">
          <x14:cfRule type="iconSet" priority="23" id="{CE5E4B8A-318B-4C96-A44C-9C0420C604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P12:P39</xm:sqref>
        </x14:conditionalFormatting>
        <x14:conditionalFormatting xmlns:xm="http://schemas.microsoft.com/office/excel/2006/main">
          <x14:cfRule type="iconSet" priority="20" id="{64AD8341-525B-4AB6-ABB5-93E833817F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Q12:Q39</xm:sqref>
        </x14:conditionalFormatting>
        <x14:conditionalFormatting xmlns:xm="http://schemas.microsoft.com/office/excel/2006/main">
          <x14:cfRule type="iconSet" priority="17" id="{3950B40A-2183-4FF9-B533-E31E98711B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R12:R39</xm:sqref>
        </x14:conditionalFormatting>
        <x14:conditionalFormatting xmlns:xm="http://schemas.microsoft.com/office/excel/2006/main">
          <x14:cfRule type="iconSet" priority="14" id="{6B780B95-AB80-4E07-92DD-CBCB74F9C2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S12:S39</xm:sqref>
        </x14:conditionalFormatting>
        <x14:conditionalFormatting xmlns:xm="http://schemas.microsoft.com/office/excel/2006/main">
          <x14:cfRule type="iconSet" priority="11" id="{E039C138-AB97-499E-98C2-B1E19B1C78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U12:U39</xm:sqref>
        </x14:conditionalFormatting>
        <x14:conditionalFormatting xmlns:xm="http://schemas.microsoft.com/office/excel/2006/main">
          <x14:cfRule type="iconSet" priority="8" id="{2F13184E-898F-446B-9591-BC623384FA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V12:V39</xm:sqref>
        </x14:conditionalFormatting>
        <x14:conditionalFormatting xmlns:xm="http://schemas.microsoft.com/office/excel/2006/main">
          <x14:cfRule type="iconSet" priority="5" id="{95A0CEE6-D751-4117-855E-AC51868580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W12:W39</xm:sqref>
        </x14:conditionalFormatting>
        <x14:conditionalFormatting xmlns:xm="http://schemas.microsoft.com/office/excel/2006/main">
          <x14:cfRule type="iconSet" priority="2" id="{5D1D258B-27BE-42C6-B4EE-BE7466EC5B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X12:Y39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1C2A-2CCD-44E2-973F-ED1DCA763BE3}">
  <sheetPr codeName="Hoja6"/>
  <dimension ref="A1:AN39"/>
  <sheetViews>
    <sheetView topLeftCell="A4" zoomScale="90" zoomScaleNormal="90" workbookViewId="0">
      <selection activeCell="AG11" sqref="AG11:AN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0" style="13" bestFit="1" customWidth="1"/>
    <col min="4" max="4" width="3.33203125" customWidth="1"/>
    <col min="5" max="6" width="3" customWidth="1"/>
    <col min="7" max="8" width="3.21875" bestFit="1" customWidth="1"/>
    <col min="9" max="9" width="3.88671875" customWidth="1"/>
    <col min="10" max="13" width="3.21875" bestFit="1" customWidth="1"/>
    <col min="14" max="14" width="4.21875" customWidth="1"/>
    <col min="15" max="25" width="3.21875" customWidth="1"/>
    <col min="26" max="26" width="11.77734375" customWidth="1"/>
    <col min="27" max="27" width="7.33203125" bestFit="1" customWidth="1"/>
    <col min="28" max="28" width="7" bestFit="1" customWidth="1"/>
    <col min="29" max="29" width="14.77734375" bestFit="1" customWidth="1"/>
    <col min="30" max="30" width="13.77734375" bestFit="1" customWidth="1"/>
  </cols>
  <sheetData>
    <row r="1" spans="1:40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34"/>
    </row>
    <row r="2" spans="1:40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76"/>
    </row>
    <row r="3" spans="1:40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76"/>
    </row>
    <row r="4" spans="1:40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76"/>
    </row>
    <row r="5" spans="1:40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76"/>
    </row>
    <row r="6" spans="1:40" x14ac:dyDescent="0.3">
      <c r="A6" s="59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76"/>
    </row>
    <row r="7" spans="1:40" x14ac:dyDescent="0.3">
      <c r="A7" s="59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76"/>
    </row>
    <row r="8" spans="1:40" x14ac:dyDescent="0.3">
      <c r="A8" s="59"/>
      <c r="B8" s="65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66"/>
    </row>
    <row r="9" spans="1:40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3"/>
      <c r="Z9" s="63"/>
      <c r="AA9" s="63"/>
      <c r="AB9" s="63"/>
      <c r="AC9" s="63"/>
      <c r="AD9" s="63"/>
    </row>
    <row r="10" spans="1:40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3"/>
      <c r="AD10" s="63"/>
    </row>
    <row r="11" spans="1:40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58"/>
      <c r="J11" s="1">
        <v>9</v>
      </c>
      <c r="K11" s="1">
        <v>10</v>
      </c>
      <c r="L11" s="1">
        <v>11</v>
      </c>
      <c r="M11" s="1">
        <v>12</v>
      </c>
      <c r="N11" s="58"/>
      <c r="O11" s="1">
        <v>16</v>
      </c>
      <c r="P11" s="1">
        <v>17</v>
      </c>
      <c r="Q11" s="1">
        <v>18</v>
      </c>
      <c r="R11" s="1">
        <v>19</v>
      </c>
      <c r="S11" s="1">
        <v>23</v>
      </c>
      <c r="T11" s="1">
        <v>26</v>
      </c>
      <c r="U11" s="1">
        <v>24</v>
      </c>
      <c r="V11" s="1">
        <v>25</v>
      </c>
      <c r="W11" s="1">
        <v>26</v>
      </c>
      <c r="X11" s="1">
        <v>29</v>
      </c>
      <c r="Y11" s="1">
        <v>30</v>
      </c>
      <c r="Z11" s="1" t="s">
        <v>1</v>
      </c>
      <c r="AA11" s="1" t="s">
        <v>2</v>
      </c>
      <c r="AB11" s="1" t="s">
        <v>3</v>
      </c>
      <c r="AC11" s="1" t="s">
        <v>4</v>
      </c>
      <c r="AD11" s="1" t="s">
        <v>5</v>
      </c>
      <c r="AG11" s="55" t="s">
        <v>9</v>
      </c>
      <c r="AH11" s="56"/>
      <c r="AI11" s="56"/>
      <c r="AJ11" s="56"/>
      <c r="AK11" s="56"/>
      <c r="AL11" s="56"/>
      <c r="AM11" s="56"/>
      <c r="AN11" s="57"/>
    </row>
    <row r="12" spans="1:40" s="3" customFormat="1" x14ac:dyDescent="0.3">
      <c r="A12" s="6">
        <v>1</v>
      </c>
      <c r="B12" s="47">
        <v>6</v>
      </c>
      <c r="C12" s="53" t="s">
        <v>57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59"/>
      <c r="J12" s="1">
        <v>1</v>
      </c>
      <c r="K12" s="1">
        <v>1</v>
      </c>
      <c r="L12" s="1">
        <v>1</v>
      </c>
      <c r="M12" s="1"/>
      <c r="N12" s="59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4">
        <f t="shared" ref="Z12:Z36" si="0">COUNTIF(D12:Y12,1)</f>
        <v>8</v>
      </c>
      <c r="AA12" s="4">
        <f t="shared" ref="AA12:AA36" si="1">COUNTIF(D12:Y12,0)</f>
        <v>0</v>
      </c>
      <c r="AB12" s="4">
        <f t="shared" ref="AB12:AB36" si="2">COUNTIF(D12:Y12,"T")</f>
        <v>0</v>
      </c>
      <c r="AC12" s="4">
        <f t="shared" ref="AC12:AC36" si="3">COUNTIF(D12:Y12,"J")</f>
        <v>0</v>
      </c>
      <c r="AD12" s="10">
        <f>SUM(Z12+AB12)/9</f>
        <v>0.88888888888888884</v>
      </c>
      <c r="AG12" s="17"/>
      <c r="AH12" s="14">
        <v>1</v>
      </c>
      <c r="AI12" s="3" t="s">
        <v>10</v>
      </c>
      <c r="AJ12" s="8"/>
      <c r="AK12" s="8"/>
      <c r="AN12" s="18"/>
    </row>
    <row r="13" spans="1:40" s="3" customFormat="1" x14ac:dyDescent="0.3">
      <c r="A13" s="6">
        <v>2</v>
      </c>
      <c r="B13" s="47">
        <v>6</v>
      </c>
      <c r="C13" s="53" t="s">
        <v>58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59"/>
      <c r="J13" s="1">
        <v>1</v>
      </c>
      <c r="K13" s="1">
        <v>1</v>
      </c>
      <c r="L13" s="1">
        <v>0</v>
      </c>
      <c r="M13" s="1"/>
      <c r="N13" s="59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4">
        <f t="shared" si="0"/>
        <v>7</v>
      </c>
      <c r="AA13" s="4">
        <f t="shared" si="1"/>
        <v>1</v>
      </c>
      <c r="AB13" s="4">
        <f t="shared" si="2"/>
        <v>0</v>
      </c>
      <c r="AC13" s="4">
        <f t="shared" si="3"/>
        <v>0</v>
      </c>
      <c r="AD13" s="10">
        <f t="shared" ref="AD13:AD36" si="4">SUM(Z13+AB13)/9</f>
        <v>0.77777777777777779</v>
      </c>
      <c r="AG13" s="17"/>
      <c r="AH13" s="15">
        <v>0</v>
      </c>
      <c r="AI13" s="3" t="s">
        <v>14</v>
      </c>
      <c r="AN13" s="18"/>
    </row>
    <row r="14" spans="1:40" s="3" customFormat="1" x14ac:dyDescent="0.3">
      <c r="A14" s="6">
        <v>3</v>
      </c>
      <c r="B14" s="47">
        <v>6</v>
      </c>
      <c r="C14" s="53" t="s">
        <v>59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59"/>
      <c r="J14" s="1">
        <v>1</v>
      </c>
      <c r="K14" s="1">
        <v>1</v>
      </c>
      <c r="L14" s="1">
        <v>1</v>
      </c>
      <c r="M14" s="1"/>
      <c r="N14" s="59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4">
        <f t="shared" si="0"/>
        <v>8</v>
      </c>
      <c r="AA14" s="4">
        <f t="shared" si="1"/>
        <v>0</v>
      </c>
      <c r="AB14" s="4">
        <f t="shared" si="2"/>
        <v>0</v>
      </c>
      <c r="AC14" s="4">
        <f t="shared" si="3"/>
        <v>0</v>
      </c>
      <c r="AD14" s="10">
        <f t="shared" si="4"/>
        <v>0.88888888888888884</v>
      </c>
      <c r="AG14" s="17"/>
      <c r="AH14" s="16" t="s">
        <v>11</v>
      </c>
      <c r="AI14" s="3" t="s">
        <v>12</v>
      </c>
      <c r="AN14" s="18"/>
    </row>
    <row r="15" spans="1:40" ht="15" thickBot="1" x14ac:dyDescent="0.35">
      <c r="A15" s="6">
        <v>4</v>
      </c>
      <c r="B15" s="47">
        <v>7</v>
      </c>
      <c r="C15" s="53" t="s">
        <v>60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59"/>
      <c r="J15" s="1">
        <v>1</v>
      </c>
      <c r="K15" s="1">
        <v>1</v>
      </c>
      <c r="L15" s="1">
        <v>1</v>
      </c>
      <c r="M15" s="1"/>
      <c r="N15" s="59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4">
        <f t="shared" si="0"/>
        <v>8</v>
      </c>
      <c r="AA15" s="4">
        <f t="shared" si="1"/>
        <v>0</v>
      </c>
      <c r="AB15" s="4">
        <f t="shared" si="2"/>
        <v>0</v>
      </c>
      <c r="AC15" s="4">
        <f t="shared" si="3"/>
        <v>0</v>
      </c>
      <c r="AD15" s="10">
        <f t="shared" si="4"/>
        <v>0.88888888888888884</v>
      </c>
      <c r="AG15" s="19"/>
      <c r="AH15" s="20" t="s">
        <v>6</v>
      </c>
      <c r="AI15" s="21" t="s">
        <v>13</v>
      </c>
      <c r="AJ15" s="22"/>
      <c r="AK15" s="22"/>
      <c r="AL15" s="22"/>
      <c r="AM15" s="22"/>
      <c r="AN15" s="23"/>
    </row>
    <row r="16" spans="1:40" x14ac:dyDescent="0.3">
      <c r="A16" s="6">
        <v>5</v>
      </c>
      <c r="B16" s="47">
        <v>7</v>
      </c>
      <c r="C16" s="53" t="s">
        <v>61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59"/>
      <c r="J16" s="1">
        <v>1</v>
      </c>
      <c r="K16" s="1">
        <v>1</v>
      </c>
      <c r="L16" s="1">
        <v>1</v>
      </c>
      <c r="M16" s="1"/>
      <c r="N16" s="59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4">
        <f t="shared" si="0"/>
        <v>8</v>
      </c>
      <c r="AA16" s="4">
        <f t="shared" si="1"/>
        <v>0</v>
      </c>
      <c r="AB16" s="4">
        <f t="shared" si="2"/>
        <v>0</v>
      </c>
      <c r="AC16" s="4">
        <f t="shared" si="3"/>
        <v>0</v>
      </c>
      <c r="AD16" s="10">
        <f t="shared" si="4"/>
        <v>0.88888888888888884</v>
      </c>
      <c r="AH16" t="s">
        <v>50</v>
      </c>
      <c r="AI16" s="3" t="s">
        <v>51</v>
      </c>
    </row>
    <row r="17" spans="1:38" x14ac:dyDescent="0.3">
      <c r="A17" s="6">
        <v>6</v>
      </c>
      <c r="B17" s="47">
        <v>7</v>
      </c>
      <c r="C17" s="53" t="s">
        <v>62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59"/>
      <c r="J17" s="1">
        <v>1</v>
      </c>
      <c r="K17" s="1">
        <v>1</v>
      </c>
      <c r="L17" s="1">
        <v>1</v>
      </c>
      <c r="M17" s="1"/>
      <c r="N17" s="59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4">
        <f t="shared" si="0"/>
        <v>8</v>
      </c>
      <c r="AA17" s="4">
        <f t="shared" si="1"/>
        <v>0</v>
      </c>
      <c r="AB17" s="4">
        <f t="shared" si="2"/>
        <v>0</v>
      </c>
      <c r="AC17" s="4">
        <f t="shared" si="3"/>
        <v>0</v>
      </c>
      <c r="AD17" s="10">
        <f t="shared" si="4"/>
        <v>0.88888888888888884</v>
      </c>
    </row>
    <row r="18" spans="1:38" x14ac:dyDescent="0.3">
      <c r="A18" s="6">
        <v>7</v>
      </c>
      <c r="B18" s="47">
        <v>7</v>
      </c>
      <c r="C18" s="53" t="s">
        <v>63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59"/>
      <c r="J18" s="1">
        <v>1</v>
      </c>
      <c r="K18" s="1">
        <v>1</v>
      </c>
      <c r="L18" s="1">
        <v>1</v>
      </c>
      <c r="M18" s="1"/>
      <c r="N18" s="59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4">
        <f t="shared" si="0"/>
        <v>8</v>
      </c>
      <c r="AA18" s="4">
        <f t="shared" si="1"/>
        <v>0</v>
      </c>
      <c r="AB18" s="4">
        <f t="shared" si="2"/>
        <v>0</v>
      </c>
      <c r="AC18" s="4">
        <f t="shared" si="3"/>
        <v>0</v>
      </c>
      <c r="AD18" s="10">
        <f t="shared" si="4"/>
        <v>0.88888888888888884</v>
      </c>
      <c r="AI18" s="8"/>
      <c r="AK18" s="3"/>
      <c r="AL18" s="3"/>
    </row>
    <row r="19" spans="1:38" x14ac:dyDescent="0.3">
      <c r="A19" s="6">
        <v>8</v>
      </c>
      <c r="B19" s="47">
        <v>7</v>
      </c>
      <c r="C19" s="53" t="s">
        <v>64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59"/>
      <c r="J19" s="1">
        <v>1</v>
      </c>
      <c r="K19" s="1">
        <v>1</v>
      </c>
      <c r="L19" s="1">
        <v>1</v>
      </c>
      <c r="M19" s="1"/>
      <c r="N19" s="59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4">
        <f t="shared" si="0"/>
        <v>8</v>
      </c>
      <c r="AA19" s="4">
        <f t="shared" si="1"/>
        <v>0</v>
      </c>
      <c r="AB19" s="4">
        <f t="shared" si="2"/>
        <v>0</v>
      </c>
      <c r="AC19" s="4">
        <f t="shared" si="3"/>
        <v>0</v>
      </c>
      <c r="AD19" s="10">
        <f t="shared" si="4"/>
        <v>0.88888888888888884</v>
      </c>
      <c r="AI19" s="8"/>
    </row>
    <row r="20" spans="1:38" x14ac:dyDescent="0.3">
      <c r="A20" s="6">
        <v>9</v>
      </c>
      <c r="B20" s="47">
        <v>7</v>
      </c>
      <c r="C20" s="53" t="s">
        <v>65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59"/>
      <c r="J20" s="1">
        <v>1</v>
      </c>
      <c r="K20" s="1">
        <v>1</v>
      </c>
      <c r="L20" s="1">
        <v>1</v>
      </c>
      <c r="M20" s="1"/>
      <c r="N20" s="59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4">
        <f t="shared" si="0"/>
        <v>8</v>
      </c>
      <c r="AA20" s="4">
        <f t="shared" si="1"/>
        <v>0</v>
      </c>
      <c r="AB20" s="4">
        <f t="shared" si="2"/>
        <v>0</v>
      </c>
      <c r="AC20" s="4">
        <f t="shared" si="3"/>
        <v>0</v>
      </c>
      <c r="AD20" s="10">
        <f t="shared" si="4"/>
        <v>0.88888888888888884</v>
      </c>
      <c r="AI20" s="8"/>
      <c r="AJ20" s="3"/>
      <c r="AK20" s="3"/>
      <c r="AL20" s="3"/>
    </row>
    <row r="21" spans="1:38" x14ac:dyDescent="0.3">
      <c r="A21" s="6">
        <v>10</v>
      </c>
      <c r="B21" s="47">
        <v>7</v>
      </c>
      <c r="C21" s="53" t="s">
        <v>66</v>
      </c>
      <c r="D21" s="1">
        <v>1</v>
      </c>
      <c r="E21" s="1">
        <v>1</v>
      </c>
      <c r="F21" s="1">
        <v>1</v>
      </c>
      <c r="G21" s="1">
        <v>0</v>
      </c>
      <c r="H21" s="1">
        <v>1</v>
      </c>
      <c r="I21" s="59"/>
      <c r="J21" s="1">
        <v>1</v>
      </c>
      <c r="K21" s="1">
        <v>1</v>
      </c>
      <c r="L21" s="1">
        <v>1</v>
      </c>
      <c r="M21" s="1"/>
      <c r="N21" s="59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4">
        <f t="shared" si="0"/>
        <v>7</v>
      </c>
      <c r="AA21" s="4">
        <f t="shared" si="1"/>
        <v>1</v>
      </c>
      <c r="AB21" s="4">
        <f t="shared" si="2"/>
        <v>0</v>
      </c>
      <c r="AC21" s="4">
        <f t="shared" si="3"/>
        <v>0</v>
      </c>
      <c r="AD21" s="10">
        <f t="shared" si="4"/>
        <v>0.77777777777777779</v>
      </c>
      <c r="AI21" s="7"/>
    </row>
    <row r="22" spans="1:38" x14ac:dyDescent="0.3">
      <c r="A22" s="6">
        <v>11</v>
      </c>
      <c r="B22" s="47">
        <v>8</v>
      </c>
      <c r="C22" s="53" t="s">
        <v>67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59"/>
      <c r="J22" s="1">
        <v>1</v>
      </c>
      <c r="K22" s="1">
        <v>1</v>
      </c>
      <c r="L22" s="1">
        <v>1</v>
      </c>
      <c r="M22" s="1"/>
      <c r="N22" s="59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4">
        <f t="shared" si="0"/>
        <v>8</v>
      </c>
      <c r="AA22" s="4">
        <f t="shared" si="1"/>
        <v>0</v>
      </c>
      <c r="AB22" s="4">
        <f t="shared" si="2"/>
        <v>0</v>
      </c>
      <c r="AC22" s="4">
        <f t="shared" si="3"/>
        <v>0</v>
      </c>
      <c r="AD22" s="10">
        <f t="shared" si="4"/>
        <v>0.88888888888888884</v>
      </c>
    </row>
    <row r="23" spans="1:38" x14ac:dyDescent="0.3">
      <c r="A23" s="6">
        <v>12</v>
      </c>
      <c r="B23" s="47">
        <v>8</v>
      </c>
      <c r="C23" s="53" t="s">
        <v>68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59"/>
      <c r="J23" s="1">
        <v>0</v>
      </c>
      <c r="K23" s="1">
        <v>0</v>
      </c>
      <c r="L23" s="1">
        <v>0</v>
      </c>
      <c r="M23" s="1"/>
      <c r="N23" s="59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4">
        <f t="shared" si="0"/>
        <v>0</v>
      </c>
      <c r="AA23" s="4">
        <f t="shared" si="1"/>
        <v>8</v>
      </c>
      <c r="AB23" s="4">
        <f t="shared" si="2"/>
        <v>0</v>
      </c>
      <c r="AC23" s="4">
        <f t="shared" si="3"/>
        <v>0</v>
      </c>
      <c r="AD23" s="10">
        <f t="shared" si="4"/>
        <v>0</v>
      </c>
    </row>
    <row r="24" spans="1:38" x14ac:dyDescent="0.3">
      <c r="A24" s="6">
        <v>13</v>
      </c>
      <c r="B24" s="47">
        <v>8</v>
      </c>
      <c r="C24" s="53" t="s">
        <v>69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59"/>
      <c r="J24" s="1">
        <v>0</v>
      </c>
      <c r="K24" s="1">
        <v>1</v>
      </c>
      <c r="L24" s="1">
        <v>1</v>
      </c>
      <c r="M24" s="4"/>
      <c r="N24" s="59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4">
        <f t="shared" si="0"/>
        <v>7</v>
      </c>
      <c r="AA24" s="4">
        <f t="shared" si="1"/>
        <v>1</v>
      </c>
      <c r="AB24" s="4">
        <f t="shared" si="2"/>
        <v>0</v>
      </c>
      <c r="AC24" s="4">
        <f t="shared" si="3"/>
        <v>0</v>
      </c>
      <c r="AD24" s="10">
        <f t="shared" si="4"/>
        <v>0.77777777777777779</v>
      </c>
    </row>
    <row r="25" spans="1:38" x14ac:dyDescent="0.3">
      <c r="A25" s="6">
        <v>14</v>
      </c>
      <c r="B25" s="47">
        <v>8</v>
      </c>
      <c r="C25" s="53" t="s">
        <v>70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59"/>
      <c r="J25" s="1">
        <v>1</v>
      </c>
      <c r="K25" s="1">
        <v>1</v>
      </c>
      <c r="L25" s="1">
        <v>1</v>
      </c>
      <c r="M25" s="4"/>
      <c r="N25" s="59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4">
        <f t="shared" si="0"/>
        <v>8</v>
      </c>
      <c r="AA25" s="4">
        <f t="shared" si="1"/>
        <v>0</v>
      </c>
      <c r="AB25" s="4">
        <f t="shared" si="2"/>
        <v>0</v>
      </c>
      <c r="AC25" s="4">
        <f t="shared" si="3"/>
        <v>0</v>
      </c>
      <c r="AD25" s="10">
        <f t="shared" si="4"/>
        <v>0.88888888888888884</v>
      </c>
    </row>
    <row r="26" spans="1:38" x14ac:dyDescent="0.3">
      <c r="A26" s="6">
        <v>15</v>
      </c>
      <c r="B26" s="47">
        <v>8</v>
      </c>
      <c r="C26" s="53" t="s">
        <v>71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59"/>
      <c r="J26" s="1">
        <v>1</v>
      </c>
      <c r="K26" s="1">
        <v>1</v>
      </c>
      <c r="L26" s="1">
        <v>1</v>
      </c>
      <c r="M26" s="4"/>
      <c r="N26" s="59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4">
        <f t="shared" si="0"/>
        <v>8</v>
      </c>
      <c r="AA26" s="4">
        <f t="shared" si="1"/>
        <v>0</v>
      </c>
      <c r="AB26" s="4">
        <f t="shared" si="2"/>
        <v>0</v>
      </c>
      <c r="AC26" s="4">
        <f t="shared" si="3"/>
        <v>0</v>
      </c>
      <c r="AD26" s="10">
        <f t="shared" si="4"/>
        <v>0.88888888888888884</v>
      </c>
    </row>
    <row r="27" spans="1:38" x14ac:dyDescent="0.3">
      <c r="A27" s="6">
        <v>16</v>
      </c>
      <c r="B27" s="54">
        <v>9</v>
      </c>
      <c r="C27" s="53" t="s">
        <v>72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59"/>
      <c r="J27" s="1">
        <v>1</v>
      </c>
      <c r="K27" s="1">
        <v>1</v>
      </c>
      <c r="L27" s="1">
        <v>1</v>
      </c>
      <c r="M27" s="4"/>
      <c r="N27" s="59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4">
        <f t="shared" si="0"/>
        <v>8</v>
      </c>
      <c r="AA27" s="4">
        <f t="shared" si="1"/>
        <v>0</v>
      </c>
      <c r="AB27" s="4">
        <f t="shared" si="2"/>
        <v>0</v>
      </c>
      <c r="AC27" s="4">
        <f t="shared" si="3"/>
        <v>0</v>
      </c>
      <c r="AD27" s="10">
        <f t="shared" si="4"/>
        <v>0.88888888888888884</v>
      </c>
    </row>
    <row r="28" spans="1:38" x14ac:dyDescent="0.3">
      <c r="A28" s="6">
        <v>17</v>
      </c>
      <c r="B28" s="54">
        <v>9</v>
      </c>
      <c r="C28" s="53" t="s">
        <v>73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59"/>
      <c r="J28" s="1">
        <v>1</v>
      </c>
      <c r="K28" s="1">
        <v>1</v>
      </c>
      <c r="L28" s="1">
        <v>1</v>
      </c>
      <c r="M28" s="4"/>
      <c r="N28" s="59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4">
        <f t="shared" si="0"/>
        <v>8</v>
      </c>
      <c r="AA28" s="4">
        <f t="shared" si="1"/>
        <v>0</v>
      </c>
      <c r="AB28" s="4">
        <f t="shared" si="2"/>
        <v>0</v>
      </c>
      <c r="AC28" s="4">
        <f t="shared" si="3"/>
        <v>0</v>
      </c>
      <c r="AD28" s="10">
        <f t="shared" si="4"/>
        <v>0.88888888888888884</v>
      </c>
    </row>
    <row r="29" spans="1:38" x14ac:dyDescent="0.3">
      <c r="A29" s="6">
        <v>18</v>
      </c>
      <c r="B29" s="54">
        <v>9</v>
      </c>
      <c r="C29" s="53" t="s">
        <v>74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59"/>
      <c r="J29" s="1">
        <v>1</v>
      </c>
      <c r="K29" s="1">
        <v>1</v>
      </c>
      <c r="L29" s="1">
        <v>1</v>
      </c>
      <c r="M29" s="4"/>
      <c r="N29" s="59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4">
        <f t="shared" si="0"/>
        <v>8</v>
      </c>
      <c r="AA29" s="4">
        <f t="shared" si="1"/>
        <v>0</v>
      </c>
      <c r="AB29" s="4">
        <f t="shared" si="2"/>
        <v>0</v>
      </c>
      <c r="AC29" s="4">
        <f t="shared" si="3"/>
        <v>0</v>
      </c>
      <c r="AD29" s="10">
        <f t="shared" si="4"/>
        <v>0.88888888888888884</v>
      </c>
    </row>
    <row r="30" spans="1:38" x14ac:dyDescent="0.3">
      <c r="A30" s="6">
        <v>19</v>
      </c>
      <c r="B30" s="54">
        <v>9</v>
      </c>
      <c r="C30" s="53" t="s">
        <v>75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59"/>
      <c r="J30" s="1">
        <v>1</v>
      </c>
      <c r="K30" s="1">
        <v>1</v>
      </c>
      <c r="L30" s="1">
        <v>1</v>
      </c>
      <c r="M30" s="4"/>
      <c r="N30" s="59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4">
        <f t="shared" si="0"/>
        <v>8</v>
      </c>
      <c r="AA30" s="4">
        <f t="shared" si="1"/>
        <v>0</v>
      </c>
      <c r="AB30" s="4">
        <f t="shared" si="2"/>
        <v>0</v>
      </c>
      <c r="AC30" s="4">
        <f t="shared" si="3"/>
        <v>0</v>
      </c>
      <c r="AD30" s="10">
        <f t="shared" si="4"/>
        <v>0.88888888888888884</v>
      </c>
    </row>
    <row r="31" spans="1:38" x14ac:dyDescent="0.3">
      <c r="A31" s="6">
        <v>20</v>
      </c>
      <c r="B31" s="54">
        <v>9</v>
      </c>
      <c r="C31" s="53" t="s">
        <v>76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59"/>
      <c r="J31" s="1">
        <v>1</v>
      </c>
      <c r="K31" s="1">
        <v>1</v>
      </c>
      <c r="L31" s="1">
        <v>1</v>
      </c>
      <c r="M31" s="4"/>
      <c r="N31" s="59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4">
        <f t="shared" si="0"/>
        <v>8</v>
      </c>
      <c r="AA31" s="4">
        <f t="shared" si="1"/>
        <v>0</v>
      </c>
      <c r="AB31" s="4">
        <f t="shared" si="2"/>
        <v>0</v>
      </c>
      <c r="AC31" s="4">
        <f t="shared" si="3"/>
        <v>0</v>
      </c>
      <c r="AD31" s="10">
        <f t="shared" si="4"/>
        <v>0.88888888888888884</v>
      </c>
    </row>
    <row r="32" spans="1:38" x14ac:dyDescent="0.3">
      <c r="A32" s="6">
        <v>21</v>
      </c>
      <c r="B32" s="54">
        <v>10</v>
      </c>
      <c r="C32" s="53" t="s">
        <v>77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59"/>
      <c r="J32" s="1">
        <v>1</v>
      </c>
      <c r="K32" s="1">
        <v>1</v>
      </c>
      <c r="L32" s="1">
        <v>1</v>
      </c>
      <c r="M32" s="4"/>
      <c r="N32" s="59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4">
        <f t="shared" si="0"/>
        <v>8</v>
      </c>
      <c r="AA32" s="4">
        <f t="shared" si="1"/>
        <v>0</v>
      </c>
      <c r="AB32" s="4">
        <f t="shared" si="2"/>
        <v>0</v>
      </c>
      <c r="AC32" s="4">
        <f t="shared" si="3"/>
        <v>0</v>
      </c>
      <c r="AD32" s="10">
        <f t="shared" si="4"/>
        <v>0.88888888888888884</v>
      </c>
    </row>
    <row r="33" spans="1:30" x14ac:dyDescent="0.3">
      <c r="A33" s="6">
        <v>22</v>
      </c>
      <c r="B33" s="54">
        <v>10</v>
      </c>
      <c r="C33" s="53" t="s">
        <v>78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59"/>
      <c r="J33" s="1">
        <v>1</v>
      </c>
      <c r="K33" s="1">
        <v>1</v>
      </c>
      <c r="L33" s="1">
        <v>1</v>
      </c>
      <c r="M33" s="4"/>
      <c r="N33" s="59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4">
        <f t="shared" si="0"/>
        <v>8</v>
      </c>
      <c r="AA33" s="4">
        <f t="shared" si="1"/>
        <v>0</v>
      </c>
      <c r="AB33" s="4">
        <f t="shared" si="2"/>
        <v>0</v>
      </c>
      <c r="AC33" s="4">
        <f t="shared" si="3"/>
        <v>0</v>
      </c>
      <c r="AD33" s="10">
        <f t="shared" si="4"/>
        <v>0.88888888888888884</v>
      </c>
    </row>
    <row r="34" spans="1:30" x14ac:dyDescent="0.3">
      <c r="A34" s="6">
        <v>23</v>
      </c>
      <c r="B34" s="54">
        <v>10</v>
      </c>
      <c r="C34" s="53" t="s">
        <v>79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59"/>
      <c r="J34" s="1">
        <v>1</v>
      </c>
      <c r="K34" s="1" t="s">
        <v>50</v>
      </c>
      <c r="L34" s="1">
        <v>1</v>
      </c>
      <c r="M34" s="4"/>
      <c r="N34" s="59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4">
        <f t="shared" si="0"/>
        <v>7</v>
      </c>
      <c r="AA34" s="4">
        <f t="shared" si="1"/>
        <v>0</v>
      </c>
      <c r="AB34" s="4">
        <f t="shared" si="2"/>
        <v>0</v>
      </c>
      <c r="AC34" s="4">
        <f t="shared" si="3"/>
        <v>0</v>
      </c>
      <c r="AD34" s="10">
        <f t="shared" si="4"/>
        <v>0.77777777777777779</v>
      </c>
    </row>
    <row r="35" spans="1:30" x14ac:dyDescent="0.3">
      <c r="A35" s="6">
        <v>24</v>
      </c>
      <c r="B35" s="54">
        <v>10</v>
      </c>
      <c r="C35" s="53" t="s">
        <v>80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59"/>
      <c r="J35" s="1">
        <v>1</v>
      </c>
      <c r="K35" s="1">
        <v>1</v>
      </c>
      <c r="L35" s="1">
        <v>1</v>
      </c>
      <c r="M35" s="4"/>
      <c r="N35" s="59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4">
        <f t="shared" si="0"/>
        <v>8</v>
      </c>
      <c r="AA35" s="4">
        <f t="shared" si="1"/>
        <v>0</v>
      </c>
      <c r="AB35" s="4">
        <f t="shared" si="2"/>
        <v>0</v>
      </c>
      <c r="AC35" s="4">
        <f t="shared" si="3"/>
        <v>0</v>
      </c>
      <c r="AD35" s="10">
        <f t="shared" si="4"/>
        <v>0.88888888888888884</v>
      </c>
    </row>
    <row r="36" spans="1:30" x14ac:dyDescent="0.3">
      <c r="A36" s="6">
        <v>25</v>
      </c>
      <c r="B36" s="54">
        <v>10</v>
      </c>
      <c r="C36" s="53" t="s">
        <v>81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59"/>
      <c r="J36" s="1">
        <v>1</v>
      </c>
      <c r="K36" s="1">
        <v>1</v>
      </c>
      <c r="L36" s="1">
        <v>1</v>
      </c>
      <c r="M36" s="4"/>
      <c r="N36" s="59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4">
        <f t="shared" si="0"/>
        <v>8</v>
      </c>
      <c r="AA36" s="4">
        <f t="shared" si="1"/>
        <v>0</v>
      </c>
      <c r="AB36" s="4">
        <f t="shared" si="2"/>
        <v>0</v>
      </c>
      <c r="AC36" s="4">
        <f t="shared" si="3"/>
        <v>0</v>
      </c>
      <c r="AD36" s="10">
        <f t="shared" si="4"/>
        <v>0.88888888888888884</v>
      </c>
    </row>
    <row r="37" spans="1:30" x14ac:dyDescent="0.3">
      <c r="A37" s="6">
        <v>26</v>
      </c>
      <c r="B37" s="54">
        <v>10</v>
      </c>
      <c r="C37" s="53" t="s">
        <v>82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59"/>
      <c r="J37" s="1">
        <v>1</v>
      </c>
      <c r="K37" s="1">
        <v>1</v>
      </c>
      <c r="L37" s="1">
        <v>1</v>
      </c>
      <c r="M37" s="4"/>
      <c r="N37" s="59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4">
        <f t="shared" ref="Z37:Z39" si="5">COUNTIF(D37:Y37,1)</f>
        <v>8</v>
      </c>
      <c r="AA37" s="4">
        <f t="shared" ref="AA37:AA39" si="6">COUNTIF(D37:Y37,0)</f>
        <v>0</v>
      </c>
      <c r="AB37" s="4">
        <f t="shared" ref="AB37:AB39" si="7">COUNTIF(D37:Y37,"T")</f>
        <v>0</v>
      </c>
      <c r="AC37" s="4">
        <f t="shared" ref="AC37:AC39" si="8">COUNTIF(D37:Y37,"J")</f>
        <v>0</v>
      </c>
      <c r="AD37" s="10">
        <f t="shared" ref="AD37:AD39" si="9">SUM(Z37+AB37)/9</f>
        <v>0.88888888888888884</v>
      </c>
    </row>
    <row r="38" spans="1:30" x14ac:dyDescent="0.3">
      <c r="A38" s="6">
        <v>27</v>
      </c>
      <c r="B38" s="54">
        <v>10</v>
      </c>
      <c r="C38" s="53" t="s">
        <v>83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59"/>
      <c r="J38" s="1">
        <v>1</v>
      </c>
      <c r="K38" s="1">
        <v>1</v>
      </c>
      <c r="L38" s="1">
        <v>1</v>
      </c>
      <c r="M38" s="4"/>
      <c r="N38" s="59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4">
        <f t="shared" si="5"/>
        <v>8</v>
      </c>
      <c r="AA38" s="4">
        <f t="shared" si="6"/>
        <v>0</v>
      </c>
      <c r="AB38" s="4">
        <f t="shared" si="7"/>
        <v>0</v>
      </c>
      <c r="AC38" s="4">
        <f t="shared" si="8"/>
        <v>0</v>
      </c>
      <c r="AD38" s="10">
        <f t="shared" si="9"/>
        <v>0.88888888888888884</v>
      </c>
    </row>
    <row r="39" spans="1:30" x14ac:dyDescent="0.3">
      <c r="A39" s="6">
        <v>28</v>
      </c>
      <c r="B39" s="54">
        <v>11</v>
      </c>
      <c r="C39" s="53" t="s">
        <v>84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59"/>
      <c r="J39" s="1">
        <v>1</v>
      </c>
      <c r="K39" s="1">
        <v>1</v>
      </c>
      <c r="L39" s="1">
        <v>1</v>
      </c>
      <c r="M39" s="4"/>
      <c r="N39" s="59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4">
        <f t="shared" si="5"/>
        <v>8</v>
      </c>
      <c r="AA39" s="4">
        <f t="shared" si="6"/>
        <v>0</v>
      </c>
      <c r="AB39" s="4">
        <f t="shared" si="7"/>
        <v>0</v>
      </c>
      <c r="AC39" s="4">
        <f t="shared" si="8"/>
        <v>0</v>
      </c>
      <c r="AD39" s="10">
        <f t="shared" si="9"/>
        <v>0.88888888888888884</v>
      </c>
    </row>
  </sheetData>
  <mergeCells count="24">
    <mergeCell ref="AG11:AN11"/>
    <mergeCell ref="AC10:AD10"/>
    <mergeCell ref="A1:B7"/>
    <mergeCell ref="C1:AC1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I11:I39"/>
    <mergeCell ref="N11:N39"/>
    <mergeCell ref="O12:Y39"/>
    <mergeCell ref="Y9:AD9"/>
    <mergeCell ref="C2:Z6"/>
    <mergeCell ref="AA6:AC7"/>
    <mergeCell ref="C7:Z7"/>
    <mergeCell ref="AA2:AC3"/>
    <mergeCell ref="AD2:AD7"/>
    <mergeCell ref="AA4:AC5"/>
  </mergeCells>
  <conditionalFormatting sqref="D12:H39">
    <cfRule type="cellIs" dxfId="189" priority="399" stopIfTrue="1" operator="equal">
      <formula>"T"</formula>
    </cfRule>
    <cfRule type="cellIs" dxfId="188" priority="401" operator="equal">
      <formula>"J"</formula>
    </cfRule>
  </conditionalFormatting>
  <conditionalFormatting sqref="G17">
    <cfRule type="cellIs" dxfId="187" priority="412" operator="equal">
      <formula>"T, t"</formula>
    </cfRule>
  </conditionalFormatting>
  <conditionalFormatting sqref="H24:H39">
    <cfRule type="cellIs" dxfId="186" priority="357" operator="equal">
      <formula>"T"</formula>
    </cfRule>
  </conditionalFormatting>
  <conditionalFormatting sqref="I11 O12 J12:M22 K23:M23 J25:J39 H12:H36 E13:H23">
    <cfRule type="cellIs" dxfId="185" priority="413" operator="equal">
      <formula>"T"</formula>
    </cfRule>
  </conditionalFormatting>
  <conditionalFormatting sqref="J12:J22 J25:J39">
    <cfRule type="cellIs" dxfId="184" priority="352" operator="equal">
      <formula>"J"</formula>
    </cfRule>
    <cfRule type="cellIs" dxfId="183" priority="351" stopIfTrue="1" operator="equal">
      <formula>"T"</formula>
    </cfRule>
  </conditionalFormatting>
  <conditionalFormatting sqref="J23">
    <cfRule type="cellIs" dxfId="182" priority="168" operator="equal">
      <formula>"J"</formula>
    </cfRule>
    <cfRule type="cellIs" dxfId="181" priority="166" stopIfTrue="1" operator="equal">
      <formula>"T"</formula>
    </cfRule>
  </conditionalFormatting>
  <conditionalFormatting sqref="J16:K22 K23:L23">
    <cfRule type="cellIs" dxfId="180" priority="414" stopIfTrue="1" operator="equal">
      <formula>"J"</formula>
    </cfRule>
  </conditionalFormatting>
  <conditionalFormatting sqref="J12:M22 J25:M39 K23:M23 D11:Y11 O12">
    <cfRule type="cellIs" dxfId="179" priority="411" stopIfTrue="1" operator="equal">
      <formula>"T"</formula>
    </cfRule>
  </conditionalFormatting>
  <conditionalFormatting sqref="J12:M22 K23:M23 I11 O12 J25:M39">
    <cfRule type="cellIs" dxfId="178" priority="419" operator="equal">
      <formula>"J"</formula>
    </cfRule>
  </conditionalFormatting>
  <conditionalFormatting sqref="J24:M24">
    <cfRule type="cellIs" dxfId="177" priority="347" operator="equal">
      <formula>"J"</formula>
    </cfRule>
    <cfRule type="cellIs" dxfId="176" priority="345" stopIfTrue="1" operator="equal">
      <formula>"T"</formula>
    </cfRule>
  </conditionalFormatting>
  <conditionalFormatting sqref="K13">
    <cfRule type="cellIs" dxfId="175" priority="337" operator="equal">
      <formula>"J"</formula>
    </cfRule>
    <cfRule type="cellIs" dxfId="174" priority="336" stopIfTrue="1" operator="equal">
      <formula>"T"</formula>
    </cfRule>
  </conditionalFormatting>
  <conditionalFormatting sqref="K14">
    <cfRule type="cellIs" dxfId="173" priority="330" stopIfTrue="1" operator="equal">
      <formula>"T"</formula>
    </cfRule>
    <cfRule type="cellIs" dxfId="172" priority="331" operator="equal">
      <formula>"J"</formula>
    </cfRule>
  </conditionalFormatting>
  <conditionalFormatting sqref="K15">
    <cfRule type="cellIs" dxfId="171" priority="325" stopIfTrue="1" operator="equal">
      <formula>"T"</formula>
    </cfRule>
    <cfRule type="cellIs" dxfId="170" priority="326" operator="equal">
      <formula>"J"</formula>
    </cfRule>
  </conditionalFormatting>
  <conditionalFormatting sqref="K16">
    <cfRule type="cellIs" dxfId="169" priority="321" operator="equal">
      <formula>"J"</formula>
    </cfRule>
    <cfRule type="cellIs" dxfId="168" priority="320" stopIfTrue="1" operator="equal">
      <formula>"T"</formula>
    </cfRule>
  </conditionalFormatting>
  <conditionalFormatting sqref="K17">
    <cfRule type="cellIs" dxfId="167" priority="315" stopIfTrue="1" operator="equal">
      <formula>"T"</formula>
    </cfRule>
    <cfRule type="cellIs" dxfId="166" priority="316" operator="equal">
      <formula>"J"</formula>
    </cfRule>
  </conditionalFormatting>
  <conditionalFormatting sqref="K18">
    <cfRule type="cellIs" dxfId="165" priority="310" stopIfTrue="1" operator="equal">
      <formula>"T"</formula>
    </cfRule>
    <cfRule type="cellIs" dxfId="164" priority="311" operator="equal">
      <formula>"J"</formula>
    </cfRule>
  </conditionalFormatting>
  <conditionalFormatting sqref="K19">
    <cfRule type="cellIs" dxfId="163" priority="306" operator="equal">
      <formula>"J"</formula>
    </cfRule>
    <cfRule type="cellIs" dxfId="162" priority="305" stopIfTrue="1" operator="equal">
      <formula>"T"</formula>
    </cfRule>
  </conditionalFormatting>
  <conditionalFormatting sqref="K20">
    <cfRule type="cellIs" dxfId="161" priority="300" stopIfTrue="1" operator="equal">
      <formula>"T"</formula>
    </cfRule>
    <cfRule type="cellIs" dxfId="160" priority="301" operator="equal">
      <formula>"J"</formula>
    </cfRule>
  </conditionalFormatting>
  <conditionalFormatting sqref="K21">
    <cfRule type="cellIs" dxfId="159" priority="296" operator="equal">
      <formula>"J"</formula>
    </cfRule>
    <cfRule type="cellIs" dxfId="158" priority="295" stopIfTrue="1" operator="equal">
      <formula>"T"</formula>
    </cfRule>
  </conditionalFormatting>
  <conditionalFormatting sqref="K22">
    <cfRule type="cellIs" dxfId="157" priority="291" operator="equal">
      <formula>"J"</formula>
    </cfRule>
    <cfRule type="cellIs" dxfId="156" priority="290" stopIfTrue="1" operator="equal">
      <formula>"T"</formula>
    </cfRule>
  </conditionalFormatting>
  <conditionalFormatting sqref="K25">
    <cfRule type="cellIs" dxfId="155" priority="271" operator="equal">
      <formula>"T"</formula>
    </cfRule>
    <cfRule type="cellIs" dxfId="154" priority="270" operator="equal">
      <formula>"J"</formula>
    </cfRule>
    <cfRule type="cellIs" dxfId="153" priority="269" stopIfTrue="1" operator="equal">
      <formula>"T"</formula>
    </cfRule>
  </conditionalFormatting>
  <conditionalFormatting sqref="K26">
    <cfRule type="cellIs" dxfId="152" priority="264" operator="equal">
      <formula>"T"</formula>
    </cfRule>
    <cfRule type="cellIs" dxfId="151" priority="262" stopIfTrue="1" operator="equal">
      <formula>"T"</formula>
    </cfRule>
    <cfRule type="cellIs" dxfId="150" priority="263" operator="equal">
      <formula>"J"</formula>
    </cfRule>
  </conditionalFormatting>
  <conditionalFormatting sqref="K27">
    <cfRule type="cellIs" dxfId="149" priority="256" operator="equal">
      <formula>"J"</formula>
    </cfRule>
    <cfRule type="cellIs" dxfId="148" priority="257" operator="equal">
      <formula>"T"</formula>
    </cfRule>
    <cfRule type="cellIs" dxfId="147" priority="255" stopIfTrue="1" operator="equal">
      <formula>"T"</formula>
    </cfRule>
  </conditionalFormatting>
  <conditionalFormatting sqref="K28">
    <cfRule type="cellIs" dxfId="146" priority="250" operator="equal">
      <formula>"T"</formula>
    </cfRule>
    <cfRule type="cellIs" dxfId="145" priority="249" operator="equal">
      <formula>"J"</formula>
    </cfRule>
    <cfRule type="cellIs" dxfId="144" priority="248" stopIfTrue="1" operator="equal">
      <formula>"T"</formula>
    </cfRule>
  </conditionalFormatting>
  <conditionalFormatting sqref="K29">
    <cfRule type="cellIs" dxfId="143" priority="241" stopIfTrue="1" operator="equal">
      <formula>"T"</formula>
    </cfRule>
    <cfRule type="cellIs" dxfId="142" priority="242" operator="equal">
      <formula>"J"</formula>
    </cfRule>
    <cfRule type="cellIs" dxfId="141" priority="243" operator="equal">
      <formula>"T"</formula>
    </cfRule>
  </conditionalFormatting>
  <conditionalFormatting sqref="K30">
    <cfRule type="cellIs" dxfId="140" priority="235" operator="equal">
      <formula>"J"</formula>
    </cfRule>
    <cfRule type="cellIs" dxfId="139" priority="236" operator="equal">
      <formula>"T"</formula>
    </cfRule>
    <cfRule type="cellIs" dxfId="138" priority="234" stopIfTrue="1" operator="equal">
      <formula>"T"</formula>
    </cfRule>
  </conditionalFormatting>
  <conditionalFormatting sqref="K31">
    <cfRule type="cellIs" dxfId="137" priority="229" operator="equal">
      <formula>"T"</formula>
    </cfRule>
    <cfRule type="cellIs" dxfId="136" priority="228" operator="equal">
      <formula>"J"</formula>
    </cfRule>
    <cfRule type="cellIs" dxfId="135" priority="227" stopIfTrue="1" operator="equal">
      <formula>"T"</formula>
    </cfRule>
  </conditionalFormatting>
  <conditionalFormatting sqref="K32">
    <cfRule type="cellIs" dxfId="134" priority="220" stopIfTrue="1" operator="equal">
      <formula>"T"</formula>
    </cfRule>
    <cfRule type="cellIs" dxfId="133" priority="221" operator="equal">
      <formula>"J"</formula>
    </cfRule>
    <cfRule type="cellIs" dxfId="132" priority="222" operator="equal">
      <formula>"T"</formula>
    </cfRule>
  </conditionalFormatting>
  <conditionalFormatting sqref="K33">
    <cfRule type="cellIs" dxfId="131" priority="215" operator="equal">
      <formula>"T"</formula>
    </cfRule>
    <cfRule type="cellIs" dxfId="130" priority="214" operator="equal">
      <formula>"J"</formula>
    </cfRule>
    <cfRule type="cellIs" dxfId="129" priority="213" stopIfTrue="1" operator="equal">
      <formula>"T"</formula>
    </cfRule>
  </conditionalFormatting>
  <conditionalFormatting sqref="K34">
    <cfRule type="cellIs" dxfId="128" priority="206" stopIfTrue="1" operator="equal">
      <formula>"T"</formula>
    </cfRule>
    <cfRule type="cellIs" dxfId="127" priority="207" operator="equal">
      <formula>"J"</formula>
    </cfRule>
    <cfRule type="cellIs" dxfId="126" priority="208" operator="equal">
      <formula>"T"</formula>
    </cfRule>
  </conditionalFormatting>
  <conditionalFormatting sqref="K35">
    <cfRule type="cellIs" dxfId="125" priority="200" operator="equal">
      <formula>"J"</formula>
    </cfRule>
    <cfRule type="cellIs" dxfId="124" priority="201" operator="equal">
      <formula>"T"</formula>
    </cfRule>
    <cfRule type="cellIs" dxfId="123" priority="199" stopIfTrue="1" operator="equal">
      <formula>"T"</formula>
    </cfRule>
  </conditionalFormatting>
  <conditionalFormatting sqref="K36">
    <cfRule type="cellIs" dxfId="122" priority="194" operator="equal">
      <formula>"T"</formula>
    </cfRule>
    <cfRule type="cellIs" dxfId="121" priority="193" operator="equal">
      <formula>"J"</formula>
    </cfRule>
    <cfRule type="cellIs" dxfId="120" priority="192" stopIfTrue="1" operator="equal">
      <formula>"T"</formula>
    </cfRule>
  </conditionalFormatting>
  <conditionalFormatting sqref="K37">
    <cfRule type="cellIs" dxfId="119" priority="187" operator="equal">
      <formula>"T"</formula>
    </cfRule>
    <cfRule type="cellIs" dxfId="118" priority="186" operator="equal">
      <formula>"J"</formula>
    </cfRule>
    <cfRule type="cellIs" dxfId="117" priority="185" stopIfTrue="1" operator="equal">
      <formula>"T"</formula>
    </cfRule>
  </conditionalFormatting>
  <conditionalFormatting sqref="K38">
    <cfRule type="cellIs" dxfId="116" priority="180" operator="equal">
      <formula>"T"</formula>
    </cfRule>
    <cfRule type="cellIs" dxfId="115" priority="179" operator="equal">
      <formula>"J"</formula>
    </cfRule>
    <cfRule type="cellIs" dxfId="114" priority="178" stopIfTrue="1" operator="equal">
      <formula>"T"</formula>
    </cfRule>
  </conditionalFormatting>
  <conditionalFormatting sqref="K39">
    <cfRule type="cellIs" dxfId="113" priority="173" operator="equal">
      <formula>"T"</formula>
    </cfRule>
    <cfRule type="cellIs" dxfId="112" priority="172" operator="equal">
      <formula>"J"</formula>
    </cfRule>
    <cfRule type="cellIs" dxfId="111" priority="171" stopIfTrue="1" operator="equal">
      <formula>"T"</formula>
    </cfRule>
  </conditionalFormatting>
  <conditionalFormatting sqref="K12:L12">
    <cfRule type="cellIs" dxfId="110" priority="343" operator="equal">
      <formula>"J"</formula>
    </cfRule>
    <cfRule type="cellIs" dxfId="109" priority="342" stopIfTrue="1" operator="equal">
      <formula>"T"</formula>
    </cfRule>
  </conditionalFormatting>
  <conditionalFormatting sqref="K23:L23">
    <cfRule type="cellIs" dxfId="108" priority="285" operator="equal">
      <formula>"J"</formula>
    </cfRule>
    <cfRule type="cellIs" dxfId="107" priority="284" stopIfTrue="1" operator="equal">
      <formula>"T"</formula>
    </cfRule>
  </conditionalFormatting>
  <conditionalFormatting sqref="K24:L24">
    <cfRule type="cellIs" dxfId="106" priority="278" operator="equal">
      <formula>"T"</formula>
    </cfRule>
    <cfRule type="cellIs" dxfId="105" priority="277" operator="equal">
      <formula>"J"</formula>
    </cfRule>
    <cfRule type="cellIs" dxfId="104" priority="276" stopIfTrue="1" operator="equal">
      <formula>"T"</formula>
    </cfRule>
  </conditionalFormatting>
  <conditionalFormatting sqref="L14">
    <cfRule type="cellIs" dxfId="103" priority="164" operator="equal">
      <formula>"J"</formula>
    </cfRule>
    <cfRule type="cellIs" dxfId="102" priority="163" stopIfTrue="1" operator="equal">
      <formula>"T"</formula>
    </cfRule>
  </conditionalFormatting>
  <conditionalFormatting sqref="L15">
    <cfRule type="cellIs" dxfId="101" priority="158" operator="equal">
      <formula>"J"</formula>
    </cfRule>
    <cfRule type="cellIs" dxfId="100" priority="157" stopIfTrue="1" operator="equal">
      <formula>"T"</formula>
    </cfRule>
  </conditionalFormatting>
  <conditionalFormatting sqref="L16">
    <cfRule type="cellIs" dxfId="99" priority="152" operator="equal">
      <formula>"J"</formula>
    </cfRule>
    <cfRule type="cellIs" dxfId="98" priority="151" stopIfTrue="1" operator="equal">
      <formula>"T"</formula>
    </cfRule>
  </conditionalFormatting>
  <conditionalFormatting sqref="L17">
    <cfRule type="cellIs" dxfId="97" priority="146" operator="equal">
      <formula>"J"</formula>
    </cfRule>
    <cfRule type="cellIs" dxfId="96" priority="145" stopIfTrue="1" operator="equal">
      <formula>"T"</formula>
    </cfRule>
  </conditionalFormatting>
  <conditionalFormatting sqref="L18:L22">
    <cfRule type="cellIs" dxfId="95" priority="140" operator="equal">
      <formula>"J"</formula>
    </cfRule>
    <cfRule type="cellIs" dxfId="94" priority="139" stopIfTrue="1" operator="equal">
      <formula>"T"</formula>
    </cfRule>
  </conditionalFormatting>
  <conditionalFormatting sqref="L25">
    <cfRule type="cellIs" dxfId="93" priority="129" stopIfTrue="1" operator="equal">
      <formula>"T"</formula>
    </cfRule>
    <cfRule type="cellIs" dxfId="92" priority="131" operator="equal">
      <formula>"T"</formula>
    </cfRule>
    <cfRule type="cellIs" dxfId="91" priority="130" operator="equal">
      <formula>"J"</formula>
    </cfRule>
    <cfRule type="cellIs" dxfId="90" priority="134" stopIfTrue="1" operator="equal">
      <formula>"T"</formula>
    </cfRule>
    <cfRule type="cellIs" dxfId="89" priority="135" operator="equal">
      <formula>"J"</formula>
    </cfRule>
  </conditionalFormatting>
  <conditionalFormatting sqref="L26">
    <cfRule type="cellIs" dxfId="88" priority="121" operator="equal">
      <formula>"J"</formula>
    </cfRule>
    <cfRule type="cellIs" dxfId="87" priority="120" stopIfTrue="1" operator="equal">
      <formula>"T"</formula>
    </cfRule>
    <cfRule type="cellIs" dxfId="86" priority="126" operator="equal">
      <formula>"J"</formula>
    </cfRule>
    <cfRule type="cellIs" dxfId="85" priority="125" stopIfTrue="1" operator="equal">
      <formula>"T"</formula>
    </cfRule>
    <cfRule type="cellIs" dxfId="84" priority="122" operator="equal">
      <formula>"T"</formula>
    </cfRule>
  </conditionalFormatting>
  <conditionalFormatting sqref="L27">
    <cfRule type="cellIs" dxfId="83" priority="116" stopIfTrue="1" operator="equal">
      <formula>"T"</formula>
    </cfRule>
    <cfRule type="cellIs" dxfId="82" priority="113" operator="equal">
      <formula>"T"</formula>
    </cfRule>
    <cfRule type="cellIs" dxfId="81" priority="112" operator="equal">
      <formula>"J"</formula>
    </cfRule>
    <cfRule type="cellIs" dxfId="80" priority="111" stopIfTrue="1" operator="equal">
      <formula>"T"</formula>
    </cfRule>
    <cfRule type="cellIs" dxfId="79" priority="117" operator="equal">
      <formula>"J"</formula>
    </cfRule>
  </conditionalFormatting>
  <conditionalFormatting sqref="L28">
    <cfRule type="cellIs" dxfId="78" priority="103" operator="equal">
      <formula>"J"</formula>
    </cfRule>
    <cfRule type="cellIs" dxfId="77" priority="102" stopIfTrue="1" operator="equal">
      <formula>"T"</formula>
    </cfRule>
    <cfRule type="cellIs" dxfId="76" priority="108" operator="equal">
      <formula>"J"</formula>
    </cfRule>
    <cfRule type="cellIs" dxfId="75" priority="107" stopIfTrue="1" operator="equal">
      <formula>"T"</formula>
    </cfRule>
    <cfRule type="cellIs" dxfId="74" priority="104" operator="equal">
      <formula>"T"</formula>
    </cfRule>
  </conditionalFormatting>
  <conditionalFormatting sqref="L29">
    <cfRule type="cellIs" dxfId="73" priority="94" operator="equal">
      <formula>"J"</formula>
    </cfRule>
    <cfRule type="cellIs" dxfId="72" priority="93" stopIfTrue="1" operator="equal">
      <formula>"T"</formula>
    </cfRule>
    <cfRule type="cellIs" dxfId="71" priority="99" operator="equal">
      <formula>"J"</formula>
    </cfRule>
    <cfRule type="cellIs" dxfId="70" priority="98" stopIfTrue="1" operator="equal">
      <formula>"T"</formula>
    </cfRule>
    <cfRule type="cellIs" dxfId="69" priority="95" operator="equal">
      <formula>"T"</formula>
    </cfRule>
  </conditionalFormatting>
  <conditionalFormatting sqref="L30">
    <cfRule type="cellIs" dxfId="68" priority="90" operator="equal">
      <formula>"J"</formula>
    </cfRule>
    <cfRule type="cellIs" dxfId="67" priority="89" stopIfTrue="1" operator="equal">
      <formula>"T"</formula>
    </cfRule>
    <cfRule type="cellIs" dxfId="66" priority="86" operator="equal">
      <formula>"T"</formula>
    </cfRule>
    <cfRule type="cellIs" dxfId="65" priority="85" operator="equal">
      <formula>"J"</formula>
    </cfRule>
    <cfRule type="cellIs" dxfId="64" priority="84" stopIfTrue="1" operator="equal">
      <formula>"T"</formula>
    </cfRule>
  </conditionalFormatting>
  <conditionalFormatting sqref="L31">
    <cfRule type="cellIs" dxfId="63" priority="81" operator="equal">
      <formula>"J"</formula>
    </cfRule>
    <cfRule type="cellIs" dxfId="62" priority="80" stopIfTrue="1" operator="equal">
      <formula>"T"</formula>
    </cfRule>
    <cfRule type="cellIs" dxfId="61" priority="77" operator="equal">
      <formula>"T"</formula>
    </cfRule>
    <cfRule type="cellIs" dxfId="60" priority="76" operator="equal">
      <formula>"J"</formula>
    </cfRule>
    <cfRule type="cellIs" dxfId="59" priority="75" stopIfTrue="1" operator="equal">
      <formula>"T"</formula>
    </cfRule>
  </conditionalFormatting>
  <conditionalFormatting sqref="L32">
    <cfRule type="cellIs" dxfId="58" priority="72" operator="equal">
      <formula>"J"</formula>
    </cfRule>
    <cfRule type="cellIs" dxfId="57" priority="66" stopIfTrue="1" operator="equal">
      <formula>"T"</formula>
    </cfRule>
    <cfRule type="cellIs" dxfId="56" priority="67" operator="equal">
      <formula>"J"</formula>
    </cfRule>
    <cfRule type="cellIs" dxfId="55" priority="68" operator="equal">
      <formula>"T"</formula>
    </cfRule>
    <cfRule type="cellIs" dxfId="54" priority="71" stopIfTrue="1" operator="equal">
      <formula>"T"</formula>
    </cfRule>
  </conditionalFormatting>
  <conditionalFormatting sqref="L33">
    <cfRule type="cellIs" dxfId="53" priority="57" stopIfTrue="1" operator="equal">
      <formula>"T"</formula>
    </cfRule>
    <cfRule type="cellIs" dxfId="52" priority="63" operator="equal">
      <formula>"J"</formula>
    </cfRule>
    <cfRule type="cellIs" dxfId="51" priority="62" stopIfTrue="1" operator="equal">
      <formula>"T"</formula>
    </cfRule>
    <cfRule type="cellIs" dxfId="50" priority="59" operator="equal">
      <formula>"T"</formula>
    </cfRule>
    <cfRule type="cellIs" dxfId="49" priority="58" operator="equal">
      <formula>"J"</formula>
    </cfRule>
  </conditionalFormatting>
  <conditionalFormatting sqref="L34">
    <cfRule type="cellIs" dxfId="48" priority="48" stopIfTrue="1" operator="equal">
      <formula>"T"</formula>
    </cfRule>
    <cfRule type="cellIs" dxfId="47" priority="54" operator="equal">
      <formula>"J"</formula>
    </cfRule>
    <cfRule type="cellIs" dxfId="46" priority="53" stopIfTrue="1" operator="equal">
      <formula>"T"</formula>
    </cfRule>
    <cfRule type="cellIs" dxfId="45" priority="50" operator="equal">
      <formula>"T"</formula>
    </cfRule>
    <cfRule type="cellIs" dxfId="44" priority="49" operator="equal">
      <formula>"J"</formula>
    </cfRule>
  </conditionalFormatting>
  <conditionalFormatting sqref="L35">
    <cfRule type="cellIs" dxfId="43" priority="39" stopIfTrue="1" operator="equal">
      <formula>"T"</formula>
    </cfRule>
    <cfRule type="cellIs" dxfId="42" priority="40" operator="equal">
      <formula>"J"</formula>
    </cfRule>
    <cfRule type="cellIs" dxfId="41" priority="41" operator="equal">
      <formula>"T"</formula>
    </cfRule>
    <cfRule type="cellIs" dxfId="40" priority="44" stopIfTrue="1" operator="equal">
      <formula>"T"</formula>
    </cfRule>
    <cfRule type="cellIs" dxfId="39" priority="45" operator="equal">
      <formula>"J"</formula>
    </cfRule>
  </conditionalFormatting>
  <conditionalFormatting sqref="L36">
    <cfRule type="cellIs" dxfId="38" priority="36" operator="equal">
      <formula>"J"</formula>
    </cfRule>
    <cfRule type="cellIs" dxfId="37" priority="35" stopIfTrue="1" operator="equal">
      <formula>"T"</formula>
    </cfRule>
    <cfRule type="cellIs" dxfId="36" priority="32" operator="equal">
      <formula>"T"</formula>
    </cfRule>
    <cfRule type="cellIs" dxfId="35" priority="31" operator="equal">
      <formula>"J"</formula>
    </cfRule>
    <cfRule type="cellIs" dxfId="34" priority="30" stopIfTrue="1" operator="equal">
      <formula>"T"</formula>
    </cfRule>
  </conditionalFormatting>
  <conditionalFormatting sqref="L37">
    <cfRule type="cellIs" dxfId="33" priority="27" operator="equal">
      <formula>"J"</formula>
    </cfRule>
    <cfRule type="cellIs" dxfId="32" priority="26" stopIfTrue="1" operator="equal">
      <formula>"T"</formula>
    </cfRule>
    <cfRule type="cellIs" dxfId="31" priority="23" operator="equal">
      <formula>"T"</formula>
    </cfRule>
    <cfRule type="cellIs" dxfId="30" priority="22" operator="equal">
      <formula>"J"</formula>
    </cfRule>
    <cfRule type="cellIs" dxfId="29" priority="21" stopIfTrue="1" operator="equal">
      <formula>"T"</formula>
    </cfRule>
  </conditionalFormatting>
  <conditionalFormatting sqref="L38">
    <cfRule type="cellIs" dxfId="28" priority="13" operator="equal">
      <formula>"J"</formula>
    </cfRule>
    <cfRule type="cellIs" dxfId="27" priority="12" stopIfTrue="1" operator="equal">
      <formula>"T"</formula>
    </cfRule>
    <cfRule type="cellIs" dxfId="26" priority="17" stopIfTrue="1" operator="equal">
      <formula>"T"</formula>
    </cfRule>
    <cfRule type="cellIs" dxfId="25" priority="18" operator="equal">
      <formula>"J"</formula>
    </cfRule>
    <cfRule type="cellIs" dxfId="24" priority="14" operator="equal">
      <formula>"T"</formula>
    </cfRule>
  </conditionalFormatting>
  <conditionalFormatting sqref="L39">
    <cfRule type="cellIs" dxfId="23" priority="9" operator="equal">
      <formula>"J"</formula>
    </cfRule>
    <cfRule type="cellIs" dxfId="22" priority="8" stopIfTrue="1" operator="equal">
      <formula>"T"</formula>
    </cfRule>
    <cfRule type="cellIs" dxfId="21" priority="5" operator="equal">
      <formula>"T"</formula>
    </cfRule>
    <cfRule type="cellIs" dxfId="20" priority="4" operator="equal">
      <formula>"J"</formula>
    </cfRule>
    <cfRule type="cellIs" dxfId="19" priority="3" stopIfTrue="1" operator="equal">
      <formula>"T"</formula>
    </cfRule>
  </conditionalFormatting>
  <dataValidations count="2">
    <dataValidation type="list" allowBlank="1" showInputMessage="1" showErrorMessage="1" sqref="D12:H39 J23" xr:uid="{8A53AC77-C18B-4670-9173-6CCE8CD5AC6B}">
      <formula1>$AI$12:$AI$15</formula1>
    </dataValidation>
    <dataValidation type="list" allowBlank="1" showInputMessage="1" showErrorMessage="1" sqref="J24:J39 J12:J22 K12:M39" xr:uid="{0DBE5EE1-ABE9-442B-9DD1-1D51058EC8D3}">
      <formula1>$AH$12:$AH$16</formula1>
    </dataValidation>
  </dataValidations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06" id="{0F29FAC1-16A6-48FC-9B17-78D836CECD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D12:D22</xm:sqref>
        </x14:conditionalFormatting>
        <x14:conditionalFormatting xmlns:xm="http://schemas.microsoft.com/office/excel/2006/main">
          <x14:cfRule type="iconSet" priority="403" id="{7FF5BC17-063C-4EFF-ADD1-F0BEF3A1B8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D24:D39</xm:sqref>
        </x14:conditionalFormatting>
        <x14:conditionalFormatting xmlns:xm="http://schemas.microsoft.com/office/excel/2006/main">
          <x14:cfRule type="iconSet" priority="400" id="{712F4CFF-E4C7-4E2C-9F21-721709DE7A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D23:H23</xm:sqref>
        </x14:conditionalFormatting>
        <x14:conditionalFormatting xmlns:xm="http://schemas.microsoft.com/office/excel/2006/main">
          <x14:cfRule type="iconSet" priority="398" id="{EE86D0DA-579C-4A8D-8215-C0AB631643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E12:E13</xm:sqref>
        </x14:conditionalFormatting>
        <x14:conditionalFormatting xmlns:xm="http://schemas.microsoft.com/office/excel/2006/main">
          <x14:cfRule type="iconSet" priority="387" id="{D8BF6D53-3234-4BF8-AE1A-1BCD550487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E13</xm:sqref>
        </x14:conditionalFormatting>
        <x14:conditionalFormatting xmlns:xm="http://schemas.microsoft.com/office/excel/2006/main">
          <x14:cfRule type="iconSet" priority="755" id="{65FAD63E-D601-4162-8626-34E43190E7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E13:E21 E24:H39 G12:H39 J12:J22 J15:L22 K23:L23 K24:M24 J25:M39</xm:sqref>
        </x14:conditionalFormatting>
        <x14:conditionalFormatting xmlns:xm="http://schemas.microsoft.com/office/excel/2006/main">
          <x14:cfRule type="iconSet" priority="386" id="{F0375E4E-ADBA-4EEE-A20B-A1E7B4F3E1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E14</xm:sqref>
        </x14:conditionalFormatting>
        <x14:conditionalFormatting xmlns:xm="http://schemas.microsoft.com/office/excel/2006/main">
          <x14:cfRule type="iconSet" priority="385" id="{87A4BFC9-D4EC-4950-9B19-8B52E6FC1C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</xm:sqref>
        </x14:conditionalFormatting>
        <x14:conditionalFormatting xmlns:xm="http://schemas.microsoft.com/office/excel/2006/main">
          <x14:cfRule type="iconSet" priority="384" id="{06C712E7-A6BA-4092-9DC0-2E51D0ED8B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E16</xm:sqref>
        </x14:conditionalFormatting>
        <x14:conditionalFormatting xmlns:xm="http://schemas.microsoft.com/office/excel/2006/main">
          <x14:cfRule type="iconSet" priority="383" id="{1EDD161C-D8E8-4904-9779-E1A8632998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E17</xm:sqref>
        </x14:conditionalFormatting>
        <x14:conditionalFormatting xmlns:xm="http://schemas.microsoft.com/office/excel/2006/main">
          <x14:cfRule type="iconSet" priority="382" id="{D833F2B1-82DB-4CFF-9582-3DB48663C7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E18</xm:sqref>
        </x14:conditionalFormatting>
        <x14:conditionalFormatting xmlns:xm="http://schemas.microsoft.com/office/excel/2006/main">
          <x14:cfRule type="iconSet" priority="380" id="{FD327ED8-B503-4147-A9FB-88BC6F8412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E19</xm:sqref>
        </x14:conditionalFormatting>
        <x14:conditionalFormatting xmlns:xm="http://schemas.microsoft.com/office/excel/2006/main">
          <x14:cfRule type="iconSet" priority="379" id="{A2F5CD3D-0794-4DED-849B-A54D223DD1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E20</xm:sqref>
        </x14:conditionalFormatting>
        <x14:conditionalFormatting xmlns:xm="http://schemas.microsoft.com/office/excel/2006/main">
          <x14:cfRule type="iconSet" priority="396" id="{C47A6159-AD1C-4755-ABFC-52337D489F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E21:E27</xm:sqref>
        </x14:conditionalFormatting>
        <x14:conditionalFormatting xmlns:xm="http://schemas.microsoft.com/office/excel/2006/main">
          <x14:cfRule type="iconSet" priority="388" id="{DACB2425-6772-43D8-A348-5C9A0723C4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81" id="{793FBB1F-5787-4A7B-BEF6-0C6BB4E2CD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E22</xm:sqref>
        </x14:conditionalFormatting>
        <x14:conditionalFormatting xmlns:xm="http://schemas.microsoft.com/office/excel/2006/main">
          <x14:cfRule type="iconSet" priority="389" id="{1191FC41-2D23-4E72-BD9A-8844AB6A06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E23</xm:sqref>
        </x14:conditionalFormatting>
        <x14:conditionalFormatting xmlns:xm="http://schemas.microsoft.com/office/excel/2006/main">
          <x14:cfRule type="iconSet" priority="397" id="{127E36B9-A1B8-4339-8A33-0945182F4C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E28</xm:sqref>
        </x14:conditionalFormatting>
        <x14:conditionalFormatting xmlns:xm="http://schemas.microsoft.com/office/excel/2006/main">
          <x14:cfRule type="iconSet" priority="395" id="{65EB8FA9-9573-46B4-A82F-B331308789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E29</xm:sqref>
        </x14:conditionalFormatting>
        <x14:conditionalFormatting xmlns:xm="http://schemas.microsoft.com/office/excel/2006/main">
          <x14:cfRule type="iconSet" priority="394" id="{2A7F7844-DD81-441F-B333-C8C73DE3BC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E30</xm:sqref>
        </x14:conditionalFormatting>
        <x14:conditionalFormatting xmlns:xm="http://schemas.microsoft.com/office/excel/2006/main">
          <x14:cfRule type="iconSet" priority="393" id="{B7B515F4-C82B-42D9-BEDA-E8903850F8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E31:E39</xm:sqref>
        </x14:conditionalFormatting>
        <x14:conditionalFormatting xmlns:xm="http://schemas.microsoft.com/office/excel/2006/main">
          <x14:cfRule type="iconSet" priority="392" id="{38D1E5EE-0BD6-435C-9E26-384825E092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E37</xm:sqref>
        </x14:conditionalFormatting>
        <x14:conditionalFormatting xmlns:xm="http://schemas.microsoft.com/office/excel/2006/main">
          <x14:cfRule type="iconSet" priority="391" id="{7217A506-C045-41CE-83D6-8F6CE0AED5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E38</xm:sqref>
        </x14:conditionalFormatting>
        <x14:conditionalFormatting xmlns:xm="http://schemas.microsoft.com/office/excel/2006/main">
          <x14:cfRule type="iconSet" priority="390" id="{C720B502-03E3-4BDC-9A79-6E82A2DA87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E39</xm:sqref>
        </x14:conditionalFormatting>
        <x14:conditionalFormatting xmlns:xm="http://schemas.microsoft.com/office/excel/2006/main">
          <x14:cfRule type="iconSet" priority="417" id="{4D74E366-9766-432E-BE12-3A6A007F35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E16:H23 E13:H13 E14:E15 G15:H15 I11 O12 H12:H36 J12:J22 J25:J39 J12:M12 J13:L22 K23:L23</xm:sqref>
        </x14:conditionalFormatting>
        <x14:conditionalFormatting xmlns:xm="http://schemas.microsoft.com/office/excel/2006/main">
          <x14:cfRule type="iconSet" priority="746" id="{77F9372F-3F31-4093-8198-F2BC017E8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E37:H39 G12:G39 H25:H39</xm:sqref>
        </x14:conditionalFormatting>
        <x14:conditionalFormatting xmlns:xm="http://schemas.microsoft.com/office/excel/2006/main">
          <x14:cfRule type="iconSet" priority="372" id="{8D2A5945-DB87-4088-B34B-262BF9604B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3" id="{DC5FB5EB-D14E-46E6-BBAC-1760E6F6E3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4" id="{49DEC67D-3CB8-49DA-BA8F-83D281708F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5" id="{3863D411-841E-4BFE-95CD-024ED64952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F12:F39</xm:sqref>
        </x14:conditionalFormatting>
        <x14:conditionalFormatting xmlns:xm="http://schemas.microsoft.com/office/excel/2006/main">
          <x14:cfRule type="iconSet" priority="377" id="{6F3F8C95-3B2C-4A4F-8286-CCC323A3CC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8" id="{569C7E7D-085E-4A75-B353-7C2A59446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G12:G39</xm:sqref>
        </x14:conditionalFormatting>
        <x14:conditionalFormatting xmlns:xm="http://schemas.microsoft.com/office/excel/2006/main">
          <x14:cfRule type="iconSet" priority="376" id="{22B1FAA7-AD8B-406B-99FD-44917ECDD7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G21</xm:sqref>
        </x14:conditionalFormatting>
        <x14:conditionalFormatting xmlns:xm="http://schemas.microsoft.com/office/excel/2006/main">
          <x14:cfRule type="iconSet" priority="363" id="{2A1ADF02-E05B-419F-8211-5E4A999E48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4" id="{86676E42-7AA0-435C-83B1-73B023D525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5" id="{ECF8AF54-F914-47F0-85A9-97C4A0D2F6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H12:H36</xm:sqref>
        </x14:conditionalFormatting>
        <x14:conditionalFormatting xmlns:xm="http://schemas.microsoft.com/office/excel/2006/main">
          <x14:cfRule type="iconSet" priority="366" id="{47F9877E-26F3-443E-B6D0-8F9F6F59A1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7" id="{7ADBB74B-18A4-4E99-B4D6-A0E6D52F77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8" id="{09F9DA4F-69D4-4F74-B585-3B77BAF38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69" id="{D0596337-AD5F-4474-BB18-335AEE5B4F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1" id="{B2C2370F-48BA-481E-9B76-B3892AB0AA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H24</xm:sqref>
        </x14:conditionalFormatting>
        <x14:conditionalFormatting xmlns:xm="http://schemas.microsoft.com/office/excel/2006/main">
          <x14:cfRule type="iconSet" priority="763" id="{68292FED-2C3F-421F-9048-81FAA60D03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2" id="{7401715D-C761-4CCF-B3F8-B10A5CFF0F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64" id="{B3E4763A-B744-4F8A-824F-5E60739D08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H25:H39</xm:sqref>
        </x14:conditionalFormatting>
        <x14:conditionalFormatting xmlns:xm="http://schemas.microsoft.com/office/excel/2006/main">
          <x14:cfRule type="iconSet" priority="356" id="{01332362-51E0-4ECC-AA51-094C604866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5" id="{CD028266-3951-4722-AA59-E64B378120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4" id="{862A78D8-7E6D-4C52-9970-195EB13E23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8" id="{EF89650C-9C7B-4AEA-9587-B1CAC21B7C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53" id="{ABEC19A2-6004-44A7-B05E-9D92576959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H36</xm:sqref>
        </x14:conditionalFormatting>
        <x14:conditionalFormatting xmlns:xm="http://schemas.microsoft.com/office/excel/2006/main">
          <x14:cfRule type="iconSet" priority="749" id="{2B66FE87-EA4B-4B1F-A7C9-72CD5FAC62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O12 F13:F39 E12:H36 H24:H39 J12:M22 K23:M24 J25:M39</xm:sqref>
        </x14:conditionalFormatting>
        <x14:conditionalFormatting xmlns:xm="http://schemas.microsoft.com/office/excel/2006/main">
          <x14:cfRule type="iconSet" priority="350" id="{69C59DFF-035C-4FC2-A15A-9638AD4EE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9" id="{2BCA5325-654A-4895-9BA6-72E117F9E1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8" id="{D0911A07-7946-4E6B-85B9-4673540052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J12:J22 J25:J39</xm:sqref>
        </x14:conditionalFormatting>
        <x14:conditionalFormatting xmlns:xm="http://schemas.microsoft.com/office/excel/2006/main">
          <x14:cfRule type="iconSet" priority="167" id="{7CDD9674-8515-44AB-ADB6-0B7820A07C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J23</xm:sqref>
        </x14:conditionalFormatting>
        <x14:conditionalFormatting xmlns:xm="http://schemas.microsoft.com/office/excel/2006/main">
          <x14:cfRule type="iconSet" priority="346" id="{89617AE9-9551-4982-BB03-2E6F17463A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</xm:sqref>
        </x14:conditionalFormatting>
        <x14:conditionalFormatting xmlns:xm="http://schemas.microsoft.com/office/excel/2006/main">
          <x14:cfRule type="iconSet" priority="338" id="{959B8E2E-32D2-496F-BAC1-03C5C0A952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35" id="{6B892EB5-249D-4BB8-B898-B7700BF343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4" id="{DDB6546C-09FA-4C17-977E-2673349C68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3" id="{9DAE1A65-AB94-41E6-9679-13126B5340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K13</xm:sqref>
        </x14:conditionalFormatting>
        <x14:conditionalFormatting xmlns:xm="http://schemas.microsoft.com/office/excel/2006/main">
          <x14:cfRule type="iconSet" priority="329" id="{64275CF1-09B6-4157-819C-5C98C81BE9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8" id="{2BF9114F-BD66-495A-BD07-516BCE127C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7" id="{83CC2995-C145-4F6E-B4E1-34CC41B48D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2" id="{A51E4DE5-9160-48BC-9501-1CF4D225D4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K14</xm:sqref>
        </x14:conditionalFormatting>
        <x14:conditionalFormatting xmlns:xm="http://schemas.microsoft.com/office/excel/2006/main">
          <x14:cfRule type="iconSet" priority="324" id="{E8F5EA91-A81C-46CC-AB02-4053BF0B0B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3" id="{F7DA8630-4A75-4616-8E3E-DAC0D9C756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22" id="{A4881E2C-9CDD-43F0-81B9-F009EAE0718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K15</xm:sqref>
        </x14:conditionalFormatting>
        <x14:conditionalFormatting xmlns:xm="http://schemas.microsoft.com/office/excel/2006/main">
          <x14:cfRule type="iconSet" priority="318" id="{67ED5B94-38D0-4627-973C-3525BA5C03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7" id="{FEEA0609-19FA-4CA4-BD3D-29FAEC646B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9" id="{6E1470A7-CCB1-44E8-925B-B0D369EC31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312" id="{E10B512A-E785-4240-97B0-B14781FA2D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3" id="{FB6E9A60-2BFC-4956-A7DA-A73BCF1D1F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14" id="{F8227DAE-5657-458E-A3EE-0C7025BD6B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</xm:sqref>
        </x14:conditionalFormatting>
        <x14:conditionalFormatting xmlns:xm="http://schemas.microsoft.com/office/excel/2006/main">
          <x14:cfRule type="iconSet" priority="308" id="{F7FF3A8B-8EDE-4564-AEAB-23178DE90B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7" id="{C3E107E3-04FF-4907-A646-55EC187CA0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9" id="{9A09B9B1-EDCC-4612-904A-3F0CC2F13A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K18</xm:sqref>
        </x14:conditionalFormatting>
        <x14:conditionalFormatting xmlns:xm="http://schemas.microsoft.com/office/excel/2006/main">
          <x14:cfRule type="iconSet" priority="303" id="{CF092F6A-1EA3-4D58-8D2C-502E620820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4" id="{84C49BEB-AFB8-45E6-9A51-4FED232290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02" id="{A814046D-8EC9-4E09-BB1B-6BFAADA550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K19</xm:sqref>
        </x14:conditionalFormatting>
        <x14:conditionalFormatting xmlns:xm="http://schemas.microsoft.com/office/excel/2006/main">
          <x14:cfRule type="iconSet" priority="299" id="{72165737-C3AE-47DC-8E41-F041332BAD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7" id="{B8339F42-3E58-479D-8AE4-F460D265A2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8" id="{EE68BC38-76FB-4661-A5B5-D6C8B483C6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K20</xm:sqref>
        </x14:conditionalFormatting>
        <x14:conditionalFormatting xmlns:xm="http://schemas.microsoft.com/office/excel/2006/main">
          <x14:cfRule type="iconSet" priority="292" id="{AC4AFFC8-6F76-4DD2-983C-B174B4F72A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3" id="{A016F0F8-87C5-4F86-90AB-37795BB49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94" id="{2556D433-D02F-43E8-A830-C0956B075C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K21</xm:sqref>
        </x14:conditionalFormatting>
        <x14:conditionalFormatting xmlns:xm="http://schemas.microsoft.com/office/excel/2006/main">
          <x14:cfRule type="iconSet" priority="289" id="{0E32EFDC-8523-41E3-B896-5851F5CCD7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8" id="{16293ABB-4F3A-41CE-8284-3376753272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7" id="{A430AE10-6D87-4EEE-AD86-5C52F444CC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K22</xm:sqref>
        </x14:conditionalFormatting>
        <x14:conditionalFormatting xmlns:xm="http://schemas.microsoft.com/office/excel/2006/main">
          <x14:cfRule type="iconSet" priority="272" id="{B32D2920-5492-499C-A77C-35B1828479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8" id="{36A5AAC8-FF42-4C66-BD62-6D0DCA8FCA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7" id="{2442EBF2-F500-4534-987A-43A126EC40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3" id="{3F2B4DAE-ECCD-4977-8041-DA888C6937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K25</xm:sqref>
        </x14:conditionalFormatting>
        <x14:conditionalFormatting xmlns:xm="http://schemas.microsoft.com/office/excel/2006/main">
          <x14:cfRule type="iconSet" priority="266" id="{8240804C-A0DC-46FC-923D-07A8EC9E80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5" id="{504537C6-62D6-4D3B-A51A-2A3DACD876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1" id="{E66427BE-445E-4E8C-B2F3-60E6AF8674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60" id="{00249CEE-799B-4DFA-BB9B-F85F18EE0A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K26</xm:sqref>
        </x14:conditionalFormatting>
        <x14:conditionalFormatting xmlns:xm="http://schemas.microsoft.com/office/excel/2006/main">
          <x14:cfRule type="iconSet" priority="254" id="{D734701C-AC4D-46E5-8004-C7CAEAF0FC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3" id="{4C480C8C-5380-4FCF-93E0-22D9315D4C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9" id="{8C350C98-791E-46AA-AE3E-E9757EFA90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8" id="{62ED2A2F-812E-4FE8-B6A9-3642079F57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K27</xm:sqref>
        </x14:conditionalFormatting>
        <x14:conditionalFormatting xmlns:xm="http://schemas.microsoft.com/office/excel/2006/main">
          <x14:cfRule type="iconSet" priority="246" id="{FA2BAD8D-2921-486B-BB14-B679FA6478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2" id="{DD2851B2-297C-4C7A-B830-AA53FD2C13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1" id="{C1E374D7-831A-434B-BC01-01A67E3931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7" id="{D4A16B50-9E68-4A8A-B6E9-EC974FABE8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K28</xm:sqref>
        </x14:conditionalFormatting>
        <x14:conditionalFormatting xmlns:xm="http://schemas.microsoft.com/office/excel/2006/main">
          <x14:cfRule type="iconSet" priority="245" id="{74176A26-3849-498E-80C5-0E5751BCBF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9" id="{9625F45B-3EE3-40C4-B3B0-B4ED44A8F2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0" id="{90DFAC14-D9E5-4501-8E2A-20406E3810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4" id="{D6730581-0AFD-474D-82CE-E88C094267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K29</xm:sqref>
        </x14:conditionalFormatting>
        <x14:conditionalFormatting xmlns:xm="http://schemas.microsoft.com/office/excel/2006/main">
          <x14:cfRule type="iconSet" priority="238" id="{200E8B87-EC03-4858-B132-13C46E305C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7" id="{3F6844F2-C481-446C-A764-9EBE5D1185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3" id="{98BF743A-5DC4-44BA-A880-1AFB3EFF1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2" id="{BCC25872-EE70-4132-96F4-64B19C3DC6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K30</xm:sqref>
        </x14:conditionalFormatting>
        <x14:conditionalFormatting xmlns:xm="http://schemas.microsoft.com/office/excel/2006/main">
          <x14:cfRule type="iconSet" priority="226" id="{E7E1C479-D1E1-4FF2-B7A2-EACBC198B6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5" id="{706CD252-6849-4ACD-972F-5808F19218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1" id="{51C147B6-1F1B-4D0D-ABC4-8FEE0D9DDE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30" id="{B76EE7D5-2033-435F-B4FD-0BBEBA42AF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K31</xm:sqref>
        </x14:conditionalFormatting>
        <x14:conditionalFormatting xmlns:xm="http://schemas.microsoft.com/office/excel/2006/main">
          <x14:cfRule type="iconSet" priority="219" id="{C59FF979-3688-44EF-82F4-FEE675A2FB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8" id="{9CA8BB9A-E631-40F3-9315-3F1EF67055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3" id="{92651173-49F1-4F7D-A98D-F28996F8B0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24" id="{1C7C8925-FB3D-4C24-9579-F0F4475D8A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216" id="{E37797A7-64E8-4DBE-97D8-F79E66F5B6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7" id="{FB487A0C-93AF-4176-B09D-9F8F59D2E8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1" id="{82B6B230-DE63-4E6F-BCF4-D1E3AE352C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2" id="{272917AB-F714-4B82-9903-B8656DDA10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K33</xm:sqref>
        </x14:conditionalFormatting>
        <x14:conditionalFormatting xmlns:xm="http://schemas.microsoft.com/office/excel/2006/main">
          <x14:cfRule type="iconSet" priority="209" id="{182F5002-6636-40FD-B3D3-4040F3EF85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10" id="{A5C3BF5E-985E-4C99-BB6B-F58B8C56D1A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4" id="{361287E3-F629-4F90-92F2-1DEF9EDAA0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5" id="{5D112758-779C-481F-B1E2-A61E64D704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K34</xm:sqref>
        </x14:conditionalFormatting>
        <x14:conditionalFormatting xmlns:xm="http://schemas.microsoft.com/office/excel/2006/main">
          <x14:cfRule type="iconSet" priority="198" id="{5E775D03-D864-4424-8751-D06582E2FA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7" id="{DF905270-1C8E-45FD-8A59-AA8F0DAC6E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3" id="{410F9929-3504-425A-B8BF-441D7D5A49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2" id="{AC53FFB1-2FFF-4F4E-8A99-BB31006D0C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K35</xm:sqref>
        </x14:conditionalFormatting>
        <x14:conditionalFormatting xmlns:xm="http://schemas.microsoft.com/office/excel/2006/main">
          <x14:cfRule type="iconSet" priority="196" id="{F114EFDA-CA67-4753-ACF6-57C2AF98D5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5" id="{6B9DA9B9-9B3C-4ACC-B10F-525AB3E3CA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1" id="{F73D50F1-87C9-45AB-92D6-DCCC5FDB22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90" id="{F1DDE2A0-05F6-428A-B666-78240B55DC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84" id="{C2E97610-C756-4E08-954D-A50475C6B3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3" id="{F3B7A36A-7E5E-45E4-BD54-1E336B3B2D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9" id="{9AD9367F-1873-4316-B9A9-048DD0B325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8" id="{E4B81E6F-6D0B-4330-A4EB-6CF74D5D4E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K37</xm:sqref>
        </x14:conditionalFormatting>
        <x14:conditionalFormatting xmlns:xm="http://schemas.microsoft.com/office/excel/2006/main">
          <x14:cfRule type="iconSet" priority="177" id="{6B7DFEDD-EA07-420C-9FAB-AC4EC5BAE5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6" id="{716A3729-F156-489C-9505-CC4107D94B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2" id="{C3C19DB0-F825-4174-943D-16DA79A3E0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81" id="{568E852E-1E59-4B0D-8D03-7D8BE5C1AC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K38</xm:sqref>
        </x14:conditionalFormatting>
        <x14:conditionalFormatting xmlns:xm="http://schemas.microsoft.com/office/excel/2006/main">
          <x14:cfRule type="iconSet" priority="175" id="{7EECE386-1FEE-4B1B-9FC4-D717606257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4" id="{51D00ED6-2DFA-439F-A29C-95892E8B73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70" id="{B0611E3D-7384-4A94-83EE-239A479FE8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9" id="{1ADCD083-AE94-4C67-BF26-614AB9BAD8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K39</xm:sqref>
        </x14:conditionalFormatting>
        <x14:conditionalFormatting xmlns:xm="http://schemas.microsoft.com/office/excel/2006/main">
          <x14:cfRule type="iconSet" priority="340" id="{B5CBE05B-3D97-4371-B6B7-479E994A4C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4" id="{FF540EBB-A405-4E39-9AF4-1F4C77DC6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341" id="{3D5EFB9F-B74C-4FAE-8EB3-028E937C42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9" id="{F0CD5A83-D993-4FE9-A98B-19A57118A0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K12:L12</xm:sqref>
        </x14:conditionalFormatting>
        <x14:conditionalFormatting xmlns:xm="http://schemas.microsoft.com/office/excel/2006/main">
          <x14:cfRule type="iconSet" priority="286" id="{3221A3E5-0E26-4D72-877C-59080032ED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3" id="{B63328AF-3E43-41EC-8545-45AF05D276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2" id="{BF6AC2E7-BFE6-4106-9F27-F7CF16844A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1" id="{D365A4D5-7D0F-44AF-B0E9-DE4800C029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K23:L23</xm:sqref>
        </x14:conditionalFormatting>
        <x14:conditionalFormatting xmlns:xm="http://schemas.microsoft.com/office/excel/2006/main">
          <x14:cfRule type="iconSet" priority="280" id="{DCED67B4-84BD-4334-AAFB-9057A42F33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9" id="{0DB553CC-C6E3-4608-AA40-4BE6557FCB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5" id="{BA155DCF-2AB0-4B6C-9712-20CD3E8780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74" id="{33FD3E3F-4892-40C9-84AC-FF7818F849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K24:L24</xm:sqref>
        </x14:conditionalFormatting>
        <x14:conditionalFormatting xmlns:xm="http://schemas.microsoft.com/office/excel/2006/main">
          <x14:cfRule type="iconSet" priority="165" id="{02FC4A2F-E37A-48D5-994E-1AC6BA64B0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62" id="{F3183BA4-0781-4C6B-8820-C4DC644E2B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1" id="{53A6CED9-E3B7-4A18-B274-4567A3502F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0" id="{0CA8D1DE-E6C1-4472-95DF-CFF97719FF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159" id="{8358BE8A-6347-4332-801F-6BAD64103E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6" id="{5D6DB2C8-A4C2-4441-B905-314B696E23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4" id="{D3AC44D1-785F-4BCD-852B-2A0EBAB282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5" id="{A1B7A805-5A11-4537-B590-E73ACD88F4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L15</xm:sqref>
        </x14:conditionalFormatting>
        <x14:conditionalFormatting xmlns:xm="http://schemas.microsoft.com/office/excel/2006/main">
          <x14:cfRule type="iconSet" priority="153" id="{68F809CD-BB09-446B-9CB8-C13AF760B9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50" id="{9F5E5E70-6AF8-46D5-A500-D3FA3C8672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8" id="{CBDD5FB9-6A17-4189-9D46-B12DA38336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9" id="{DB4B2434-0E99-4759-9B36-723825074E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</xm:sqref>
        </x14:conditionalFormatting>
        <x14:conditionalFormatting xmlns:xm="http://schemas.microsoft.com/office/excel/2006/main">
          <x14:cfRule type="iconSet" priority="147" id="{0BCC8250-8DF5-4F51-8649-EEDAB6DB5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44" id="{9310966F-3C5B-4523-9CFC-B8036EF3A8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2" id="{F131EFF8-C0E4-46FA-A139-576A6D347B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43" id="{FCD41B72-9AC7-49CE-AE84-5DA389A72D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</xm:sqref>
        </x14:conditionalFormatting>
        <x14:conditionalFormatting xmlns:xm="http://schemas.microsoft.com/office/excel/2006/main">
          <x14:cfRule type="iconSet" priority="141" id="{36EB39D1-7984-4F7B-AD61-9B1DE066B4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14:cfRule type="iconSet" priority="136" id="{B07E8C4E-9DC8-4098-9000-3084084334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7" id="{0DABD8B3-4C10-4711-924F-F845D51337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8" id="{33415F28-310D-4B4F-8F9E-ECA0B80A43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L18:L22</xm:sqref>
        </x14:conditionalFormatting>
        <x14:conditionalFormatting xmlns:xm="http://schemas.microsoft.com/office/excel/2006/main">
          <x14:cfRule type="iconSet" priority="127" id="{4155AAD0-DA6C-45F3-A629-3B01E7E561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8" id="{B7DD708D-3422-4ACF-B060-6768400174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2" id="{49D271D4-19D0-438F-8998-70DA8B1B3C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33" id="{A0E77E0F-2A14-4780-AD96-F3D8F38DF2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L25</xm:sqref>
        </x14:conditionalFormatting>
        <x14:conditionalFormatting xmlns:xm="http://schemas.microsoft.com/office/excel/2006/main">
          <x14:cfRule type="iconSet" priority="119" id="{A767D2DE-2CD0-4BAF-9BD3-84C177E876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8" id="{BF78A747-7F05-4F78-85C1-DDDD283068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4" id="{DDF5D87A-C7D0-4BFB-A497-8676AE4A2A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23" id="{2031D295-F9C2-4FAF-B6FA-E2531CA5D3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110" id="{17619049-7778-44E1-93C8-4D07056357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9" id="{98963564-7223-467D-B92E-DCBE270BB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5" id="{90680F88-6BF5-4090-A122-5E87855ECF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14" id="{172E4DAF-F94E-4D6B-9ED6-31C68ACEAB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L27</xm:sqref>
        </x14:conditionalFormatting>
        <x14:conditionalFormatting xmlns:xm="http://schemas.microsoft.com/office/excel/2006/main">
          <x14:cfRule type="iconSet" priority="106" id="{569F23A9-DD29-49C4-9914-0308C6B7B2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5" id="{28F82439-78A4-4D9A-B142-D5AECA33AF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1" id="{287F10AA-C065-4757-92D0-7B5730C490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0" id="{FAC8F5B1-5F4A-4A52-AA2A-E60A2C3694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L28</xm:sqref>
        </x14:conditionalFormatting>
        <x14:conditionalFormatting xmlns:xm="http://schemas.microsoft.com/office/excel/2006/main">
          <x14:cfRule type="iconSet" priority="92" id="{AA5EE21A-1331-4901-88C4-515D3DD06F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1" id="{A9F6D7F2-BD85-437D-B144-B0ECFE1DC1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7" id="{AF48E603-854D-4A1E-BA1C-3BCE9D0523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96" id="{0AE8136A-5D51-4C38-871B-8439AEB012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L29</xm:sqref>
        </x14:conditionalFormatting>
        <x14:conditionalFormatting xmlns:xm="http://schemas.microsoft.com/office/excel/2006/main">
          <x14:cfRule type="iconSet" priority="88" id="{53F66AFE-DC69-45A2-9792-1486E16EA9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7" id="{CB6FAD57-353D-45CF-B370-6AC5B3EF5E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2" id="{EF4C912E-D8F4-41EC-A49B-DC537CD120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83" id="{70D1C59B-C83B-403C-B90B-D75AEF73EE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L30</xm:sqref>
        </x14:conditionalFormatting>
        <x14:conditionalFormatting xmlns:xm="http://schemas.microsoft.com/office/excel/2006/main">
          <x14:cfRule type="iconSet" priority="73" id="{EBDC381E-74EE-41AB-AE27-4EC62069C7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9" id="{E947D836-5908-4F59-93B0-88D70B464F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8" id="{E1FFEA0F-B1B7-4450-86D5-8163FDCE69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4" id="{98F0D4D3-6469-4103-AC82-12D9D02CA9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L31</xm:sqref>
        </x14:conditionalFormatting>
        <x14:conditionalFormatting xmlns:xm="http://schemas.microsoft.com/office/excel/2006/main">
          <x14:cfRule type="iconSet" priority="65" id="{347D3000-46E1-4E92-811D-F538984A27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9" id="{91FC633D-B131-4CCC-BF39-1727B5B44A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70" id="{C410CCED-1713-40EE-9E21-F609C5EF09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4" id="{DA57765A-D741-47D7-87DD-CAB93DE4B7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55" id="{5B8B8EB1-8836-4869-85CA-A8AD11A4C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1" id="{2D747C6F-07E1-4865-8DE5-2D46ADC4B8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0" id="{E4E9B828-6AB0-4EA7-A82D-2E79A2DCC5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6" id="{0CBD4FD7-FDD3-44B8-A86C-0C1F4A1C10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L33</xm:sqref>
        </x14:conditionalFormatting>
        <x14:conditionalFormatting xmlns:xm="http://schemas.microsoft.com/office/excel/2006/main">
          <x14:cfRule type="iconSet" priority="47" id="{E5591967-F2B9-466B-8030-631EF04672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6" id="{81E3C375-6B10-4EB2-B7DB-948ACED7EB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2" id="{EA6656FF-74DA-4A30-AC97-5D2823C549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51" id="{253F4B31-0A86-40FA-BAEB-06F86E3CCB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38" id="{86235E1F-5F91-4D52-A70E-9EC4677076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2" id="{289CCA19-9001-4819-9634-6D26222E73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43" id="{F0AEDAF4-0683-4A6B-BB1A-CC194A149E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7" id="{91475411-17B3-4D33-8E5D-D183DB11A8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29" id="{3CFF2A31-A802-4540-8334-E56C89A2D6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4" id="{A3A787DE-DA12-47D3-B9A9-C24E43BF9D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33" id="{B3974A50-2737-46E6-AF1D-CCBDF6421D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8" id="{55DF199E-607F-4E84-AD9B-1F5C1929DF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L36</xm:sqref>
        </x14:conditionalFormatting>
        <x14:conditionalFormatting xmlns:xm="http://schemas.microsoft.com/office/excel/2006/main">
          <x14:cfRule type="iconSet" priority="19" id="{D4043C88-BA79-47A1-8A62-BEAE64C878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5" id="{6FF85EA4-C898-474F-A335-EA2DC91C28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4" id="{EDE2245F-5AED-4776-8BF2-1A4BD08293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0" id="{D607D9A6-426B-4AA1-87A2-6E89680799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L37</xm:sqref>
        </x14:conditionalFormatting>
        <x14:conditionalFormatting xmlns:xm="http://schemas.microsoft.com/office/excel/2006/main">
          <x14:cfRule type="iconSet" priority="11" id="{6C4C0617-C19B-4AE8-B402-6C93B38413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0" id="{EEDCBD2E-765C-47AA-BFC8-D5F11BDA65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6" id="{1B457478-9D4A-41DE-ACFC-97B9D14648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5" id="{B142E736-F664-408F-9A96-2E51A6E784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L38</xm:sqref>
        </x14:conditionalFormatting>
        <x14:conditionalFormatting xmlns:xm="http://schemas.microsoft.com/office/excel/2006/main">
          <x14:cfRule type="iconSet" priority="7" id="{BEABD740-1F6D-4268-B2B7-30BF5CCDE1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6" id="{B19F256D-A62B-43C7-B567-EAED01442E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2" id="{880286B7-7CF9-489E-A4D5-0E452A4E3D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14:cfRule type="iconSet" priority="1" id="{E62A13CA-6468-400E-87FB-2F6FC1793A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E6FB-A207-4B44-A64F-3669FAF6AFAB}">
  <sheetPr codeName="Hoja7"/>
  <dimension ref="A1:AS39"/>
  <sheetViews>
    <sheetView topLeftCell="A4" zoomScale="90" zoomScaleNormal="90" workbookViewId="0">
      <selection activeCell="AL11" sqref="AL11:AS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6" width="3" customWidth="1"/>
    <col min="7" max="7" width="3.88671875" customWidth="1"/>
    <col min="8" max="11" width="3.21875" bestFit="1" customWidth="1"/>
    <col min="12" max="29" width="3.21875" customWidth="1"/>
    <col min="30" max="30" width="3.77734375" customWidth="1"/>
    <col min="31" max="31" width="11.77734375" customWidth="1"/>
    <col min="32" max="32" width="7.33203125" bestFit="1" customWidth="1"/>
    <col min="33" max="33" width="7" bestFit="1" customWidth="1"/>
    <col min="34" max="34" width="14.77734375" bestFit="1" customWidth="1"/>
    <col min="35" max="35" width="13.77734375" bestFit="1" customWidth="1"/>
  </cols>
  <sheetData>
    <row r="1" spans="1:45" x14ac:dyDescent="0.3">
      <c r="A1" s="3"/>
      <c r="B1" s="3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78"/>
      <c r="AG1" s="78"/>
      <c r="AH1" s="78"/>
      <c r="AI1" s="79"/>
    </row>
    <row r="2" spans="1:45" x14ac:dyDescent="0.3">
      <c r="A2" s="65"/>
      <c r="B2" s="66"/>
      <c r="C2" s="75" t="e" vm="1">
        <v>#VALUE!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63" t="s">
        <v>15</v>
      </c>
      <c r="AB2" s="63"/>
      <c r="AC2" s="63"/>
      <c r="AD2" s="63"/>
      <c r="AE2" s="63"/>
      <c r="AF2" s="78"/>
      <c r="AG2" s="78"/>
      <c r="AH2" s="78"/>
      <c r="AI2" s="79"/>
    </row>
    <row r="3" spans="1:45" x14ac:dyDescent="0.3">
      <c r="A3" s="65"/>
      <c r="B3" s="6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63"/>
      <c r="AB3" s="63"/>
      <c r="AC3" s="63"/>
      <c r="AD3" s="63"/>
      <c r="AE3" s="63"/>
      <c r="AF3" s="78"/>
      <c r="AG3" s="78"/>
      <c r="AH3" s="78"/>
      <c r="AI3" s="79"/>
    </row>
    <row r="4" spans="1:45" ht="14.55" customHeight="1" x14ac:dyDescent="0.3">
      <c r="A4" s="65"/>
      <c r="B4" s="6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3" t="s">
        <v>17</v>
      </c>
      <c r="AB4" s="73"/>
      <c r="AC4" s="73"/>
      <c r="AD4" s="73"/>
      <c r="AE4" s="73"/>
      <c r="AF4" s="78"/>
      <c r="AG4" s="78"/>
      <c r="AH4" s="78"/>
      <c r="AI4" s="79"/>
    </row>
    <row r="5" spans="1:45" x14ac:dyDescent="0.3">
      <c r="A5" s="65"/>
      <c r="B5" s="6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3"/>
      <c r="AB5" s="73"/>
      <c r="AC5" s="73"/>
      <c r="AD5" s="73"/>
      <c r="AE5" s="73"/>
      <c r="AF5" s="78"/>
      <c r="AG5" s="78"/>
      <c r="AH5" s="78"/>
      <c r="AI5" s="79"/>
    </row>
    <row r="6" spans="1:45" ht="14.55" customHeight="1" x14ac:dyDescent="0.3">
      <c r="A6" s="65"/>
      <c r="B6" s="6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3" t="s">
        <v>16</v>
      </c>
      <c r="AB6" s="73"/>
      <c r="AC6" s="73"/>
      <c r="AD6" s="73"/>
      <c r="AE6" s="73"/>
      <c r="AF6" s="78"/>
      <c r="AG6" s="78"/>
      <c r="AH6" s="78"/>
      <c r="AI6" s="79"/>
    </row>
    <row r="7" spans="1:45" x14ac:dyDescent="0.3">
      <c r="A7" s="65"/>
      <c r="B7" s="66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3"/>
      <c r="AB7" s="73"/>
      <c r="AC7" s="73"/>
      <c r="AD7" s="73"/>
      <c r="AE7" s="73"/>
      <c r="AF7" s="78"/>
      <c r="AG7" s="78"/>
      <c r="AH7" s="78"/>
      <c r="AI7" s="79"/>
    </row>
    <row r="8" spans="1:45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F8" s="78"/>
      <c r="AG8" s="78"/>
      <c r="AH8" s="78"/>
      <c r="AI8" s="79"/>
    </row>
    <row r="9" spans="1:45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59"/>
      <c r="Z9" s="65"/>
      <c r="AA9" s="65"/>
      <c r="AB9" s="65"/>
      <c r="AC9" s="65"/>
      <c r="AD9" s="65"/>
      <c r="AE9" s="65"/>
      <c r="AF9" s="65"/>
      <c r="AG9" s="65"/>
      <c r="AH9" s="65"/>
      <c r="AI9" s="66"/>
    </row>
    <row r="10" spans="1:45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0"/>
      <c r="AD10" s="61"/>
      <c r="AE10" s="61"/>
      <c r="AF10" s="61"/>
      <c r="AG10" s="61"/>
      <c r="AH10" s="61"/>
      <c r="AI10" s="62"/>
    </row>
    <row r="11" spans="1:45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1">
        <v>3</v>
      </c>
      <c r="G11" s="70"/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58"/>
      <c r="N11" s="1">
        <v>13</v>
      </c>
      <c r="O11" s="1">
        <v>14</v>
      </c>
      <c r="P11" s="1">
        <v>15</v>
      </c>
      <c r="Q11" s="1">
        <v>16</v>
      </c>
      <c r="R11" s="1">
        <v>17</v>
      </c>
      <c r="S11" s="58"/>
      <c r="T11" s="1">
        <v>21</v>
      </c>
      <c r="U11" s="1">
        <v>22</v>
      </c>
      <c r="V11" s="1">
        <v>23</v>
      </c>
      <c r="W11" s="1">
        <v>24</v>
      </c>
      <c r="X11" s="58"/>
      <c r="Y11" s="1">
        <v>27</v>
      </c>
      <c r="Z11" s="1">
        <v>28</v>
      </c>
      <c r="AA11" s="1">
        <v>29</v>
      </c>
      <c r="AB11" s="1">
        <v>30</v>
      </c>
      <c r="AC11" s="1">
        <v>31</v>
      </c>
      <c r="AD11" s="58"/>
      <c r="AE11" s="1" t="s">
        <v>1</v>
      </c>
      <c r="AF11" s="1" t="s">
        <v>2</v>
      </c>
      <c r="AG11" s="1" t="s">
        <v>3</v>
      </c>
      <c r="AH11" s="1" t="s">
        <v>4</v>
      </c>
      <c r="AI11" s="1" t="s">
        <v>5</v>
      </c>
      <c r="AL11" s="55" t="s">
        <v>9</v>
      </c>
      <c r="AM11" s="56"/>
      <c r="AN11" s="56"/>
      <c r="AO11" s="56"/>
      <c r="AP11" s="56"/>
      <c r="AQ11" s="56"/>
      <c r="AR11" s="56"/>
      <c r="AS11" s="57"/>
    </row>
    <row r="12" spans="1:45" s="3" customFormat="1" x14ac:dyDescent="0.3">
      <c r="A12" s="6">
        <v>1</v>
      </c>
      <c r="B12" s="47">
        <v>6</v>
      </c>
      <c r="C12" s="53" t="s">
        <v>57</v>
      </c>
      <c r="D12" s="58"/>
      <c r="E12" s="70"/>
      <c r="F12" s="70"/>
      <c r="G12" s="65"/>
      <c r="H12" s="1"/>
      <c r="I12" s="1"/>
      <c r="J12" s="1"/>
      <c r="K12" s="1"/>
      <c r="L12" s="1"/>
      <c r="M12" s="59"/>
      <c r="N12" s="1"/>
      <c r="O12" s="1"/>
      <c r="P12" s="1"/>
      <c r="Q12" s="1"/>
      <c r="R12" s="1"/>
      <c r="S12" s="59"/>
      <c r="T12" s="1"/>
      <c r="U12" s="1"/>
      <c r="V12" s="1"/>
      <c r="W12" s="1"/>
      <c r="X12" s="59"/>
      <c r="Y12" s="1"/>
      <c r="Z12" s="1"/>
      <c r="AA12" s="1"/>
      <c r="AB12" s="1"/>
      <c r="AC12" s="1"/>
      <c r="AD12" s="59"/>
      <c r="AE12" s="4">
        <f t="shared" ref="AE12:AE36" si="0">COUNTIF(D12:AC12,1)</f>
        <v>0</v>
      </c>
      <c r="AF12" s="4">
        <f t="shared" ref="AF12:AF36" si="1">COUNTIF(D12:AC12,0)</f>
        <v>0</v>
      </c>
      <c r="AG12" s="4">
        <f t="shared" ref="AG12:AG36" si="2">COUNTIF(D12:AC12,"T")</f>
        <v>0</v>
      </c>
      <c r="AH12" s="4">
        <f t="shared" ref="AH12:AH36" si="3">COUNTIF(D12:AC12,"J")</f>
        <v>0</v>
      </c>
      <c r="AI12" s="10">
        <f>SUM(AE12+AG12)/19</f>
        <v>0</v>
      </c>
      <c r="AL12" s="17"/>
      <c r="AM12" s="14">
        <v>1</v>
      </c>
      <c r="AN12" s="3" t="s">
        <v>10</v>
      </c>
      <c r="AO12" s="8"/>
      <c r="AP12" s="8"/>
      <c r="AS12" s="18"/>
    </row>
    <row r="13" spans="1:45" s="3" customFormat="1" x14ac:dyDescent="0.3">
      <c r="A13" s="6">
        <v>2</v>
      </c>
      <c r="B13" s="47">
        <v>6</v>
      </c>
      <c r="C13" s="53" t="s">
        <v>58</v>
      </c>
      <c r="D13" s="59"/>
      <c r="E13" s="65"/>
      <c r="F13" s="65"/>
      <c r="G13" s="65"/>
      <c r="H13" s="1"/>
      <c r="I13" s="1"/>
      <c r="J13" s="1"/>
      <c r="K13" s="1"/>
      <c r="L13" s="1"/>
      <c r="M13" s="59"/>
      <c r="N13" s="1"/>
      <c r="O13" s="1"/>
      <c r="P13" s="1"/>
      <c r="Q13" s="1"/>
      <c r="R13" s="1"/>
      <c r="S13" s="59"/>
      <c r="T13" s="1"/>
      <c r="U13" s="1"/>
      <c r="V13" s="1"/>
      <c r="W13" s="1"/>
      <c r="X13" s="59"/>
      <c r="Y13" s="1"/>
      <c r="Z13" s="1"/>
      <c r="AA13" s="1"/>
      <c r="AB13" s="1"/>
      <c r="AC13" s="1"/>
      <c r="AD13" s="59"/>
      <c r="AE13" s="4">
        <f t="shared" si="0"/>
        <v>0</v>
      </c>
      <c r="AF13" s="4">
        <f t="shared" si="1"/>
        <v>0</v>
      </c>
      <c r="AG13" s="4">
        <f t="shared" si="2"/>
        <v>0</v>
      </c>
      <c r="AH13" s="4">
        <f t="shared" si="3"/>
        <v>0</v>
      </c>
      <c r="AI13" s="10">
        <f t="shared" ref="AI13:AI36" si="4">SUM(AE13+AG13)/19</f>
        <v>0</v>
      </c>
      <c r="AL13" s="17"/>
      <c r="AM13" s="15">
        <v>0</v>
      </c>
      <c r="AN13" s="3" t="s">
        <v>14</v>
      </c>
      <c r="AS13" s="18"/>
    </row>
    <row r="14" spans="1:45" s="3" customFormat="1" x14ac:dyDescent="0.3">
      <c r="A14" s="6">
        <v>3</v>
      </c>
      <c r="B14" s="47">
        <v>6</v>
      </c>
      <c r="C14" s="53" t="s">
        <v>59</v>
      </c>
      <c r="D14" s="59"/>
      <c r="E14" s="65"/>
      <c r="F14" s="65"/>
      <c r="G14" s="65"/>
      <c r="H14" s="1"/>
      <c r="I14" s="1"/>
      <c r="J14" s="1"/>
      <c r="K14" s="1"/>
      <c r="L14" s="1"/>
      <c r="M14" s="59"/>
      <c r="N14" s="1"/>
      <c r="O14" s="1"/>
      <c r="P14" s="1"/>
      <c r="Q14" s="1"/>
      <c r="R14" s="1"/>
      <c r="S14" s="59"/>
      <c r="T14" s="1"/>
      <c r="U14" s="1"/>
      <c r="V14" s="1"/>
      <c r="W14" s="1"/>
      <c r="X14" s="59"/>
      <c r="Y14" s="1"/>
      <c r="Z14" s="1"/>
      <c r="AA14" s="1"/>
      <c r="AB14" s="1"/>
      <c r="AC14" s="1"/>
      <c r="AD14" s="59"/>
      <c r="AE14" s="4">
        <f t="shared" si="0"/>
        <v>0</v>
      </c>
      <c r="AF14" s="4">
        <f t="shared" si="1"/>
        <v>0</v>
      </c>
      <c r="AG14" s="4">
        <f t="shared" si="2"/>
        <v>0</v>
      </c>
      <c r="AH14" s="4">
        <f t="shared" si="3"/>
        <v>0</v>
      </c>
      <c r="AI14" s="10">
        <f t="shared" si="4"/>
        <v>0</v>
      </c>
      <c r="AL14" s="17"/>
      <c r="AM14" s="16" t="s">
        <v>11</v>
      </c>
      <c r="AN14" s="3" t="s">
        <v>12</v>
      </c>
      <c r="AS14" s="18"/>
    </row>
    <row r="15" spans="1:45" ht="15" thickBot="1" x14ac:dyDescent="0.35">
      <c r="A15" s="6">
        <v>4</v>
      </c>
      <c r="B15" s="47">
        <v>7</v>
      </c>
      <c r="C15" s="53" t="s">
        <v>60</v>
      </c>
      <c r="D15" s="59"/>
      <c r="E15" s="65"/>
      <c r="F15" s="65"/>
      <c r="G15" s="65"/>
      <c r="H15" s="4"/>
      <c r="I15" s="4"/>
      <c r="J15" s="4"/>
      <c r="K15" s="1"/>
      <c r="L15" s="1"/>
      <c r="M15" s="59"/>
      <c r="N15" s="1"/>
      <c r="O15" s="1"/>
      <c r="P15" s="1"/>
      <c r="Q15" s="1"/>
      <c r="R15" s="1"/>
      <c r="S15" s="59"/>
      <c r="T15" s="1"/>
      <c r="U15" s="1"/>
      <c r="V15" s="1"/>
      <c r="W15" s="1"/>
      <c r="X15" s="59"/>
      <c r="Y15" s="1"/>
      <c r="Z15" s="1"/>
      <c r="AA15" s="1"/>
      <c r="AB15" s="1"/>
      <c r="AC15" s="1"/>
      <c r="AD15" s="59"/>
      <c r="AE15" s="4">
        <f t="shared" si="0"/>
        <v>0</v>
      </c>
      <c r="AF15" s="4">
        <f t="shared" si="1"/>
        <v>0</v>
      </c>
      <c r="AG15" s="4">
        <f t="shared" si="2"/>
        <v>0</v>
      </c>
      <c r="AH15" s="4">
        <f t="shared" si="3"/>
        <v>0</v>
      </c>
      <c r="AI15" s="10">
        <f t="shared" si="4"/>
        <v>0</v>
      </c>
      <c r="AL15" s="19"/>
      <c r="AM15" s="20" t="s">
        <v>6</v>
      </c>
      <c r="AN15" s="21" t="s">
        <v>13</v>
      </c>
      <c r="AO15" s="22"/>
      <c r="AP15" s="22"/>
      <c r="AQ15" s="22"/>
      <c r="AR15" s="22"/>
      <c r="AS15" s="23"/>
    </row>
    <row r="16" spans="1:45" x14ac:dyDescent="0.3">
      <c r="A16" s="6">
        <v>5</v>
      </c>
      <c r="B16" s="47">
        <v>7</v>
      </c>
      <c r="C16" s="53" t="s">
        <v>61</v>
      </c>
      <c r="D16" s="59"/>
      <c r="E16" s="65"/>
      <c r="F16" s="65"/>
      <c r="G16" s="65"/>
      <c r="H16" s="4"/>
      <c r="I16" s="4"/>
      <c r="J16" s="4"/>
      <c r="K16" s="1"/>
      <c r="L16" s="1"/>
      <c r="M16" s="59"/>
      <c r="N16" s="1"/>
      <c r="O16" s="1"/>
      <c r="P16" s="1"/>
      <c r="Q16" s="1"/>
      <c r="R16" s="1"/>
      <c r="S16" s="59"/>
      <c r="T16" s="1"/>
      <c r="U16" s="1"/>
      <c r="V16" s="1"/>
      <c r="W16" s="1"/>
      <c r="X16" s="59"/>
      <c r="Y16" s="1"/>
      <c r="Z16" s="1"/>
      <c r="AA16" s="1"/>
      <c r="AB16" s="1"/>
      <c r="AC16" s="1"/>
      <c r="AD16" s="59"/>
      <c r="AE16" s="4">
        <f t="shared" si="0"/>
        <v>0</v>
      </c>
      <c r="AF16" s="4">
        <f t="shared" si="1"/>
        <v>0</v>
      </c>
      <c r="AG16" s="4">
        <f t="shared" si="2"/>
        <v>0</v>
      </c>
      <c r="AH16" s="4">
        <f t="shared" si="3"/>
        <v>0</v>
      </c>
      <c r="AI16" s="10">
        <f t="shared" si="4"/>
        <v>0</v>
      </c>
      <c r="AM16" t="s">
        <v>50</v>
      </c>
      <c r="AN16" s="3" t="s">
        <v>51</v>
      </c>
    </row>
    <row r="17" spans="1:43" x14ac:dyDescent="0.3">
      <c r="A17" s="6">
        <v>6</v>
      </c>
      <c r="B17" s="47">
        <v>7</v>
      </c>
      <c r="C17" s="53" t="s">
        <v>62</v>
      </c>
      <c r="D17" s="59"/>
      <c r="E17" s="65"/>
      <c r="F17" s="65"/>
      <c r="G17" s="65"/>
      <c r="H17" s="4"/>
      <c r="I17" s="4"/>
      <c r="J17" s="4"/>
      <c r="K17" s="1"/>
      <c r="L17" s="1"/>
      <c r="M17" s="59"/>
      <c r="N17" s="1"/>
      <c r="O17" s="1"/>
      <c r="P17" s="1"/>
      <c r="Q17" s="1"/>
      <c r="R17" s="1"/>
      <c r="S17" s="59"/>
      <c r="T17" s="1"/>
      <c r="U17" s="1"/>
      <c r="V17" s="1"/>
      <c r="W17" s="1"/>
      <c r="X17" s="59"/>
      <c r="Y17" s="1"/>
      <c r="Z17" s="1"/>
      <c r="AA17" s="1"/>
      <c r="AB17" s="1"/>
      <c r="AC17" s="1"/>
      <c r="AD17" s="59"/>
      <c r="AE17" s="4">
        <f t="shared" si="0"/>
        <v>0</v>
      </c>
      <c r="AF17" s="4">
        <f t="shared" si="1"/>
        <v>0</v>
      </c>
      <c r="AG17" s="4">
        <f t="shared" si="2"/>
        <v>0</v>
      </c>
      <c r="AH17" s="4">
        <f t="shared" si="3"/>
        <v>0</v>
      </c>
      <c r="AI17" s="10">
        <f t="shared" si="4"/>
        <v>0</v>
      </c>
    </row>
    <row r="18" spans="1:43" x14ac:dyDescent="0.3">
      <c r="A18" s="6">
        <v>7</v>
      </c>
      <c r="B18" s="47">
        <v>7</v>
      </c>
      <c r="C18" s="53" t="s">
        <v>63</v>
      </c>
      <c r="D18" s="59"/>
      <c r="E18" s="65"/>
      <c r="F18" s="65"/>
      <c r="G18" s="65"/>
      <c r="H18" s="4"/>
      <c r="I18" s="4"/>
      <c r="J18" s="4"/>
      <c r="K18" s="1"/>
      <c r="L18" s="1"/>
      <c r="M18" s="59"/>
      <c r="N18" s="1"/>
      <c r="O18" s="1"/>
      <c r="P18" s="1"/>
      <c r="Q18" s="1"/>
      <c r="R18" s="1"/>
      <c r="S18" s="59"/>
      <c r="T18" s="1"/>
      <c r="U18" s="1"/>
      <c r="V18" s="1"/>
      <c r="W18" s="1"/>
      <c r="X18" s="59"/>
      <c r="Y18" s="1"/>
      <c r="Z18" s="1"/>
      <c r="AA18" s="1"/>
      <c r="AB18" s="1"/>
      <c r="AC18" s="1"/>
      <c r="AD18" s="59"/>
      <c r="AE18" s="4">
        <f t="shared" si="0"/>
        <v>0</v>
      </c>
      <c r="AF18" s="4">
        <f t="shared" si="1"/>
        <v>0</v>
      </c>
      <c r="AG18" s="4">
        <f t="shared" si="2"/>
        <v>0</v>
      </c>
      <c r="AH18" s="4">
        <f t="shared" si="3"/>
        <v>0</v>
      </c>
      <c r="AI18" s="10">
        <f t="shared" si="4"/>
        <v>0</v>
      </c>
      <c r="AN18" s="8"/>
      <c r="AP18" s="3"/>
      <c r="AQ18" s="3"/>
    </row>
    <row r="19" spans="1:43" x14ac:dyDescent="0.3">
      <c r="A19" s="6">
        <v>8</v>
      </c>
      <c r="B19" s="47">
        <v>7</v>
      </c>
      <c r="C19" s="53" t="s">
        <v>64</v>
      </c>
      <c r="D19" s="59"/>
      <c r="E19" s="65"/>
      <c r="F19" s="65"/>
      <c r="G19" s="65"/>
      <c r="H19" s="4"/>
      <c r="I19" s="4"/>
      <c r="J19" s="4"/>
      <c r="K19" s="1"/>
      <c r="L19" s="1"/>
      <c r="M19" s="59"/>
      <c r="N19" s="1"/>
      <c r="O19" s="1"/>
      <c r="P19" s="1"/>
      <c r="Q19" s="1"/>
      <c r="R19" s="1"/>
      <c r="S19" s="59"/>
      <c r="T19" s="1"/>
      <c r="U19" s="1"/>
      <c r="V19" s="1"/>
      <c r="W19" s="1"/>
      <c r="X19" s="59"/>
      <c r="Y19" s="1"/>
      <c r="Z19" s="1"/>
      <c r="AA19" s="1"/>
      <c r="AB19" s="1"/>
      <c r="AC19" s="1"/>
      <c r="AD19" s="59"/>
      <c r="AE19" s="4">
        <f t="shared" si="0"/>
        <v>0</v>
      </c>
      <c r="AF19" s="4">
        <f t="shared" si="1"/>
        <v>0</v>
      </c>
      <c r="AG19" s="4">
        <f t="shared" si="2"/>
        <v>0</v>
      </c>
      <c r="AH19" s="4">
        <f t="shared" si="3"/>
        <v>0</v>
      </c>
      <c r="AI19" s="10">
        <f t="shared" si="4"/>
        <v>0</v>
      </c>
      <c r="AN19" s="8"/>
    </row>
    <row r="20" spans="1:43" x14ac:dyDescent="0.3">
      <c r="A20" s="6">
        <v>9</v>
      </c>
      <c r="B20" s="47">
        <v>7</v>
      </c>
      <c r="C20" s="53" t="s">
        <v>65</v>
      </c>
      <c r="D20" s="59"/>
      <c r="E20" s="65"/>
      <c r="F20" s="65"/>
      <c r="G20" s="65"/>
      <c r="H20" s="4"/>
      <c r="I20" s="4"/>
      <c r="J20" s="4"/>
      <c r="K20" s="1"/>
      <c r="L20" s="1"/>
      <c r="M20" s="59"/>
      <c r="N20" s="1"/>
      <c r="O20" s="1"/>
      <c r="P20" s="1"/>
      <c r="Q20" s="1"/>
      <c r="R20" s="1"/>
      <c r="S20" s="59"/>
      <c r="T20" s="1"/>
      <c r="U20" s="1"/>
      <c r="V20" s="1"/>
      <c r="W20" s="1"/>
      <c r="X20" s="59"/>
      <c r="Y20" s="1"/>
      <c r="Z20" s="1"/>
      <c r="AA20" s="1"/>
      <c r="AB20" s="1"/>
      <c r="AC20" s="1"/>
      <c r="AD20" s="59"/>
      <c r="AE20" s="4">
        <f t="shared" si="0"/>
        <v>0</v>
      </c>
      <c r="AF20" s="4">
        <f t="shared" si="1"/>
        <v>0</v>
      </c>
      <c r="AG20" s="4">
        <f t="shared" si="2"/>
        <v>0</v>
      </c>
      <c r="AH20" s="4">
        <f t="shared" si="3"/>
        <v>0</v>
      </c>
      <c r="AI20" s="10">
        <f t="shared" si="4"/>
        <v>0</v>
      </c>
      <c r="AN20" s="8"/>
      <c r="AO20" s="3"/>
      <c r="AP20" s="3"/>
      <c r="AQ20" s="3"/>
    </row>
    <row r="21" spans="1:43" x14ac:dyDescent="0.3">
      <c r="A21" s="6">
        <v>10</v>
      </c>
      <c r="B21" s="47">
        <v>7</v>
      </c>
      <c r="C21" s="53" t="s">
        <v>66</v>
      </c>
      <c r="D21" s="59"/>
      <c r="E21" s="65"/>
      <c r="F21" s="65"/>
      <c r="G21" s="65"/>
      <c r="H21" s="4"/>
      <c r="I21" s="4"/>
      <c r="J21" s="4"/>
      <c r="K21" s="1"/>
      <c r="L21" s="1"/>
      <c r="M21" s="59"/>
      <c r="N21" s="1"/>
      <c r="O21" s="1"/>
      <c r="P21" s="1"/>
      <c r="Q21" s="1"/>
      <c r="R21" s="1"/>
      <c r="S21" s="59"/>
      <c r="T21" s="1"/>
      <c r="U21" s="1"/>
      <c r="V21" s="1"/>
      <c r="W21" s="1"/>
      <c r="X21" s="59"/>
      <c r="Y21" s="1"/>
      <c r="Z21" s="1"/>
      <c r="AA21" s="1"/>
      <c r="AB21" s="1"/>
      <c r="AC21" s="1"/>
      <c r="AD21" s="59"/>
      <c r="AE21" s="4">
        <f t="shared" si="0"/>
        <v>0</v>
      </c>
      <c r="AF21" s="4">
        <f t="shared" si="1"/>
        <v>0</v>
      </c>
      <c r="AG21" s="4">
        <f t="shared" si="2"/>
        <v>0</v>
      </c>
      <c r="AH21" s="4">
        <f t="shared" si="3"/>
        <v>0</v>
      </c>
      <c r="AI21" s="10">
        <f t="shared" si="4"/>
        <v>0</v>
      </c>
      <c r="AN21" s="7"/>
    </row>
    <row r="22" spans="1:43" x14ac:dyDescent="0.3">
      <c r="A22" s="6">
        <v>11</v>
      </c>
      <c r="B22" s="47">
        <v>8</v>
      </c>
      <c r="C22" s="53" t="s">
        <v>67</v>
      </c>
      <c r="D22" s="59"/>
      <c r="E22" s="65"/>
      <c r="F22" s="65"/>
      <c r="G22" s="65"/>
      <c r="H22" s="4"/>
      <c r="I22" s="4"/>
      <c r="J22" s="4"/>
      <c r="K22" s="1"/>
      <c r="L22" s="1"/>
      <c r="M22" s="59"/>
      <c r="N22" s="1"/>
      <c r="O22" s="1"/>
      <c r="P22" s="1"/>
      <c r="Q22" s="1"/>
      <c r="R22" s="1"/>
      <c r="S22" s="59"/>
      <c r="T22" s="1"/>
      <c r="U22" s="1"/>
      <c r="V22" s="1"/>
      <c r="W22" s="1"/>
      <c r="X22" s="59"/>
      <c r="Y22" s="1"/>
      <c r="Z22" s="1"/>
      <c r="AA22" s="1"/>
      <c r="AB22" s="1"/>
      <c r="AC22" s="1"/>
      <c r="AD22" s="59"/>
      <c r="AE22" s="4">
        <f t="shared" si="0"/>
        <v>0</v>
      </c>
      <c r="AF22" s="4">
        <f t="shared" si="1"/>
        <v>0</v>
      </c>
      <c r="AG22" s="4">
        <f t="shared" si="2"/>
        <v>0</v>
      </c>
      <c r="AH22" s="4">
        <f t="shared" si="3"/>
        <v>0</v>
      </c>
      <c r="AI22" s="10">
        <f t="shared" si="4"/>
        <v>0</v>
      </c>
    </row>
    <row r="23" spans="1:43" x14ac:dyDescent="0.3">
      <c r="A23" s="6">
        <v>12</v>
      </c>
      <c r="B23" s="47">
        <v>8</v>
      </c>
      <c r="C23" s="53" t="s">
        <v>68</v>
      </c>
      <c r="D23" s="59"/>
      <c r="E23" s="65"/>
      <c r="F23" s="65"/>
      <c r="G23" s="65"/>
      <c r="H23" s="4"/>
      <c r="I23" s="4"/>
      <c r="J23" s="4"/>
      <c r="K23" s="1"/>
      <c r="L23" s="1"/>
      <c r="M23" s="59"/>
      <c r="N23" s="1"/>
      <c r="O23" s="1"/>
      <c r="P23" s="1"/>
      <c r="Q23" s="1"/>
      <c r="R23" s="1"/>
      <c r="S23" s="59"/>
      <c r="T23" s="1"/>
      <c r="U23" s="1"/>
      <c r="V23" s="1"/>
      <c r="W23" s="1"/>
      <c r="X23" s="59"/>
      <c r="Y23" s="1"/>
      <c r="Z23" s="1"/>
      <c r="AA23" s="1"/>
      <c r="AB23" s="1"/>
      <c r="AC23" s="1"/>
      <c r="AD23" s="59"/>
      <c r="AE23" s="4">
        <f t="shared" si="0"/>
        <v>0</v>
      </c>
      <c r="AF23" s="4">
        <f t="shared" si="1"/>
        <v>0</v>
      </c>
      <c r="AG23" s="4">
        <f t="shared" si="2"/>
        <v>0</v>
      </c>
      <c r="AH23" s="4">
        <f t="shared" si="3"/>
        <v>0</v>
      </c>
      <c r="AI23" s="10">
        <f t="shared" si="4"/>
        <v>0</v>
      </c>
    </row>
    <row r="24" spans="1:43" x14ac:dyDescent="0.3">
      <c r="A24" s="6">
        <v>13</v>
      </c>
      <c r="B24" s="47">
        <v>8</v>
      </c>
      <c r="C24" s="53" t="s">
        <v>69</v>
      </c>
      <c r="D24" s="59"/>
      <c r="E24" s="65"/>
      <c r="F24" s="65"/>
      <c r="G24" s="65"/>
      <c r="H24" s="4"/>
      <c r="I24" s="4"/>
      <c r="J24" s="4"/>
      <c r="K24" s="4"/>
      <c r="L24" s="4"/>
      <c r="M24" s="59"/>
      <c r="N24" s="4"/>
      <c r="O24" s="4"/>
      <c r="P24" s="4"/>
      <c r="Q24" s="4"/>
      <c r="R24" s="4"/>
      <c r="S24" s="59"/>
      <c r="T24" s="4"/>
      <c r="U24" s="4"/>
      <c r="V24" s="4"/>
      <c r="W24" s="4"/>
      <c r="X24" s="59"/>
      <c r="Y24" s="4"/>
      <c r="Z24" s="4"/>
      <c r="AA24" s="4"/>
      <c r="AB24" s="4"/>
      <c r="AC24" s="4"/>
      <c r="AD24" s="59"/>
      <c r="AE24" s="4">
        <f t="shared" si="0"/>
        <v>0</v>
      </c>
      <c r="AF24" s="4">
        <f t="shared" si="1"/>
        <v>0</v>
      </c>
      <c r="AG24" s="4">
        <f t="shared" si="2"/>
        <v>0</v>
      </c>
      <c r="AH24" s="4">
        <f t="shared" si="3"/>
        <v>0</v>
      </c>
      <c r="AI24" s="10">
        <f t="shared" si="4"/>
        <v>0</v>
      </c>
    </row>
    <row r="25" spans="1:43" x14ac:dyDescent="0.3">
      <c r="A25" s="6">
        <v>14</v>
      </c>
      <c r="B25" s="47">
        <v>8</v>
      </c>
      <c r="C25" s="53" t="s">
        <v>70</v>
      </c>
      <c r="D25" s="59"/>
      <c r="E25" s="65"/>
      <c r="F25" s="65"/>
      <c r="G25" s="65"/>
      <c r="H25" s="4"/>
      <c r="I25" s="4"/>
      <c r="J25" s="4"/>
      <c r="K25" s="4"/>
      <c r="L25" s="4"/>
      <c r="M25" s="59"/>
      <c r="N25" s="4"/>
      <c r="O25" s="4"/>
      <c r="P25" s="4"/>
      <c r="Q25" s="4"/>
      <c r="R25" s="4"/>
      <c r="S25" s="59"/>
      <c r="T25" s="4"/>
      <c r="U25" s="4"/>
      <c r="V25" s="4"/>
      <c r="W25" s="4"/>
      <c r="X25" s="59"/>
      <c r="Y25" s="4"/>
      <c r="Z25" s="4"/>
      <c r="AA25" s="4"/>
      <c r="AB25" s="4"/>
      <c r="AC25" s="4"/>
      <c r="AD25" s="59"/>
      <c r="AE25" s="4">
        <f t="shared" si="0"/>
        <v>0</v>
      </c>
      <c r="AF25" s="4">
        <f t="shared" si="1"/>
        <v>0</v>
      </c>
      <c r="AG25" s="4">
        <f t="shared" si="2"/>
        <v>0</v>
      </c>
      <c r="AH25" s="4">
        <f t="shared" si="3"/>
        <v>0</v>
      </c>
      <c r="AI25" s="10">
        <f t="shared" si="4"/>
        <v>0</v>
      </c>
    </row>
    <row r="26" spans="1:43" x14ac:dyDescent="0.3">
      <c r="A26" s="6">
        <v>15</v>
      </c>
      <c r="B26" s="47">
        <v>8</v>
      </c>
      <c r="C26" s="53" t="s">
        <v>71</v>
      </c>
      <c r="D26" s="59"/>
      <c r="E26" s="65"/>
      <c r="F26" s="65"/>
      <c r="G26" s="65"/>
      <c r="H26" s="4"/>
      <c r="I26" s="4"/>
      <c r="J26" s="4"/>
      <c r="K26" s="4"/>
      <c r="L26" s="4"/>
      <c r="M26" s="59"/>
      <c r="N26" s="4"/>
      <c r="O26" s="4"/>
      <c r="P26" s="4"/>
      <c r="Q26" s="4"/>
      <c r="R26" s="4"/>
      <c r="S26" s="59"/>
      <c r="T26" s="4"/>
      <c r="U26" s="4"/>
      <c r="V26" s="4"/>
      <c r="W26" s="4"/>
      <c r="X26" s="59"/>
      <c r="Y26" s="4"/>
      <c r="Z26" s="4"/>
      <c r="AA26" s="4"/>
      <c r="AB26" s="4"/>
      <c r="AC26" s="4"/>
      <c r="AD26" s="59"/>
      <c r="AE26" s="4">
        <f t="shared" si="0"/>
        <v>0</v>
      </c>
      <c r="AF26" s="4">
        <f t="shared" si="1"/>
        <v>0</v>
      </c>
      <c r="AG26" s="4">
        <f t="shared" si="2"/>
        <v>0</v>
      </c>
      <c r="AH26" s="4">
        <f t="shared" si="3"/>
        <v>0</v>
      </c>
      <c r="AI26" s="10">
        <f t="shared" si="4"/>
        <v>0</v>
      </c>
    </row>
    <row r="27" spans="1:43" x14ac:dyDescent="0.3">
      <c r="A27" s="6">
        <v>16</v>
      </c>
      <c r="B27" s="54">
        <v>9</v>
      </c>
      <c r="C27" s="53" t="s">
        <v>72</v>
      </c>
      <c r="D27" s="59"/>
      <c r="E27" s="65"/>
      <c r="F27" s="65"/>
      <c r="G27" s="65"/>
      <c r="H27" s="4"/>
      <c r="I27" s="4"/>
      <c r="J27" s="4"/>
      <c r="K27" s="4"/>
      <c r="L27" s="4"/>
      <c r="M27" s="59"/>
      <c r="N27" s="4"/>
      <c r="O27" s="4"/>
      <c r="P27" s="4"/>
      <c r="Q27" s="4"/>
      <c r="R27" s="4"/>
      <c r="S27" s="59"/>
      <c r="T27" s="4"/>
      <c r="U27" s="4"/>
      <c r="V27" s="4"/>
      <c r="W27" s="4"/>
      <c r="X27" s="59"/>
      <c r="Y27" s="4"/>
      <c r="Z27" s="4"/>
      <c r="AA27" s="4"/>
      <c r="AB27" s="4"/>
      <c r="AC27" s="4"/>
      <c r="AD27" s="59"/>
      <c r="AE27" s="4">
        <f t="shared" si="0"/>
        <v>0</v>
      </c>
      <c r="AF27" s="4">
        <f t="shared" si="1"/>
        <v>0</v>
      </c>
      <c r="AG27" s="4">
        <f t="shared" si="2"/>
        <v>0</v>
      </c>
      <c r="AH27" s="4">
        <f t="shared" si="3"/>
        <v>0</v>
      </c>
      <c r="AI27" s="10">
        <f t="shared" si="4"/>
        <v>0</v>
      </c>
    </row>
    <row r="28" spans="1:43" x14ac:dyDescent="0.3">
      <c r="A28" s="6">
        <v>17</v>
      </c>
      <c r="B28" s="54">
        <v>9</v>
      </c>
      <c r="C28" s="53" t="s">
        <v>73</v>
      </c>
      <c r="D28" s="59"/>
      <c r="E28" s="65"/>
      <c r="F28" s="65"/>
      <c r="G28" s="65"/>
      <c r="H28" s="4"/>
      <c r="I28" s="4"/>
      <c r="J28" s="4"/>
      <c r="K28" s="4"/>
      <c r="L28" s="4"/>
      <c r="M28" s="59"/>
      <c r="N28" s="4"/>
      <c r="O28" s="4"/>
      <c r="P28" s="4"/>
      <c r="Q28" s="4"/>
      <c r="R28" s="4"/>
      <c r="S28" s="59"/>
      <c r="T28" s="4"/>
      <c r="U28" s="4"/>
      <c r="V28" s="4"/>
      <c r="W28" s="4"/>
      <c r="X28" s="59"/>
      <c r="Y28" s="4"/>
      <c r="Z28" s="4"/>
      <c r="AA28" s="4"/>
      <c r="AB28" s="4"/>
      <c r="AC28" s="4"/>
      <c r="AD28" s="59"/>
      <c r="AE28" s="4">
        <f t="shared" si="0"/>
        <v>0</v>
      </c>
      <c r="AF28" s="4">
        <f t="shared" si="1"/>
        <v>0</v>
      </c>
      <c r="AG28" s="4">
        <f t="shared" si="2"/>
        <v>0</v>
      </c>
      <c r="AH28" s="4">
        <f t="shared" si="3"/>
        <v>0</v>
      </c>
      <c r="AI28" s="10">
        <f t="shared" si="4"/>
        <v>0</v>
      </c>
    </row>
    <row r="29" spans="1:43" x14ac:dyDescent="0.3">
      <c r="A29" s="6">
        <v>18</v>
      </c>
      <c r="B29" s="54">
        <v>9</v>
      </c>
      <c r="C29" s="53" t="s">
        <v>74</v>
      </c>
      <c r="D29" s="59"/>
      <c r="E29" s="65"/>
      <c r="F29" s="65"/>
      <c r="G29" s="65"/>
      <c r="H29" s="4"/>
      <c r="I29" s="4"/>
      <c r="J29" s="4"/>
      <c r="K29" s="4"/>
      <c r="L29" s="4"/>
      <c r="M29" s="59"/>
      <c r="N29" s="4"/>
      <c r="O29" s="4"/>
      <c r="P29" s="4"/>
      <c r="Q29" s="4"/>
      <c r="R29" s="4"/>
      <c r="S29" s="59"/>
      <c r="T29" s="4"/>
      <c r="U29" s="4"/>
      <c r="V29" s="4"/>
      <c r="W29" s="4"/>
      <c r="X29" s="59"/>
      <c r="Y29" s="4"/>
      <c r="Z29" s="4"/>
      <c r="AA29" s="4"/>
      <c r="AB29" s="4"/>
      <c r="AC29" s="4"/>
      <c r="AD29" s="59"/>
      <c r="AE29" s="4">
        <f t="shared" si="0"/>
        <v>0</v>
      </c>
      <c r="AF29" s="4">
        <f t="shared" si="1"/>
        <v>0</v>
      </c>
      <c r="AG29" s="4">
        <f t="shared" si="2"/>
        <v>0</v>
      </c>
      <c r="AH29" s="4">
        <f t="shared" si="3"/>
        <v>0</v>
      </c>
      <c r="AI29" s="10">
        <f t="shared" si="4"/>
        <v>0</v>
      </c>
    </row>
    <row r="30" spans="1:43" x14ac:dyDescent="0.3">
      <c r="A30" s="6">
        <v>19</v>
      </c>
      <c r="B30" s="54">
        <v>9</v>
      </c>
      <c r="C30" s="53" t="s">
        <v>75</v>
      </c>
      <c r="D30" s="59"/>
      <c r="E30" s="65"/>
      <c r="F30" s="65"/>
      <c r="G30" s="65"/>
      <c r="H30" s="4"/>
      <c r="I30" s="4"/>
      <c r="J30" s="4"/>
      <c r="K30" s="4"/>
      <c r="L30" s="4"/>
      <c r="M30" s="59"/>
      <c r="N30" s="4"/>
      <c r="O30" s="4"/>
      <c r="P30" s="4"/>
      <c r="Q30" s="4"/>
      <c r="R30" s="4"/>
      <c r="S30" s="59"/>
      <c r="T30" s="4"/>
      <c r="U30" s="4"/>
      <c r="V30" s="4"/>
      <c r="W30" s="4"/>
      <c r="X30" s="59"/>
      <c r="Y30" s="4"/>
      <c r="Z30" s="4"/>
      <c r="AA30" s="4"/>
      <c r="AB30" s="4"/>
      <c r="AC30" s="4"/>
      <c r="AD30" s="59"/>
      <c r="AE30" s="4">
        <f t="shared" si="0"/>
        <v>0</v>
      </c>
      <c r="AF30" s="4">
        <f t="shared" si="1"/>
        <v>0</v>
      </c>
      <c r="AG30" s="4">
        <f t="shared" si="2"/>
        <v>0</v>
      </c>
      <c r="AH30" s="4">
        <f t="shared" si="3"/>
        <v>0</v>
      </c>
      <c r="AI30" s="10">
        <f t="shared" si="4"/>
        <v>0</v>
      </c>
    </row>
    <row r="31" spans="1:43" x14ac:dyDescent="0.3">
      <c r="A31" s="6">
        <v>20</v>
      </c>
      <c r="B31" s="54">
        <v>9</v>
      </c>
      <c r="C31" s="53" t="s">
        <v>76</v>
      </c>
      <c r="D31" s="59"/>
      <c r="E31" s="65"/>
      <c r="F31" s="65"/>
      <c r="G31" s="65"/>
      <c r="H31" s="4"/>
      <c r="I31" s="4"/>
      <c r="J31" s="4"/>
      <c r="K31" s="4"/>
      <c r="L31" s="4"/>
      <c r="M31" s="59"/>
      <c r="N31" s="4"/>
      <c r="O31" s="4"/>
      <c r="P31" s="4"/>
      <c r="Q31" s="4"/>
      <c r="R31" s="4"/>
      <c r="S31" s="59"/>
      <c r="T31" s="4"/>
      <c r="U31" s="4"/>
      <c r="V31" s="4"/>
      <c r="W31" s="4"/>
      <c r="X31" s="59"/>
      <c r="Y31" s="4"/>
      <c r="Z31" s="4"/>
      <c r="AA31" s="4"/>
      <c r="AB31" s="4"/>
      <c r="AC31" s="4"/>
      <c r="AD31" s="59"/>
      <c r="AE31" s="4">
        <f t="shared" si="0"/>
        <v>0</v>
      </c>
      <c r="AF31" s="4">
        <f t="shared" si="1"/>
        <v>0</v>
      </c>
      <c r="AG31" s="4">
        <f t="shared" si="2"/>
        <v>0</v>
      </c>
      <c r="AH31" s="4">
        <f t="shared" si="3"/>
        <v>0</v>
      </c>
      <c r="AI31" s="10">
        <f t="shared" si="4"/>
        <v>0</v>
      </c>
    </row>
    <row r="32" spans="1:43" x14ac:dyDescent="0.3">
      <c r="A32" s="6">
        <v>21</v>
      </c>
      <c r="B32" s="54">
        <v>10</v>
      </c>
      <c r="C32" s="53" t="s">
        <v>77</v>
      </c>
      <c r="D32" s="59"/>
      <c r="E32" s="65"/>
      <c r="F32" s="65"/>
      <c r="G32" s="65"/>
      <c r="H32" s="4"/>
      <c r="I32" s="4"/>
      <c r="J32" s="4"/>
      <c r="K32" s="4"/>
      <c r="L32" s="4"/>
      <c r="M32" s="59"/>
      <c r="N32" s="4"/>
      <c r="O32" s="4"/>
      <c r="P32" s="4"/>
      <c r="Q32" s="4"/>
      <c r="R32" s="4"/>
      <c r="S32" s="59"/>
      <c r="T32" s="4"/>
      <c r="U32" s="4"/>
      <c r="V32" s="4"/>
      <c r="W32" s="4"/>
      <c r="X32" s="59"/>
      <c r="Y32" s="4"/>
      <c r="Z32" s="4"/>
      <c r="AA32" s="4"/>
      <c r="AB32" s="4"/>
      <c r="AC32" s="4"/>
      <c r="AD32" s="59"/>
      <c r="AE32" s="4">
        <f t="shared" si="0"/>
        <v>0</v>
      </c>
      <c r="AF32" s="4">
        <f t="shared" si="1"/>
        <v>0</v>
      </c>
      <c r="AG32" s="4">
        <f t="shared" si="2"/>
        <v>0</v>
      </c>
      <c r="AH32" s="4">
        <f t="shared" si="3"/>
        <v>0</v>
      </c>
      <c r="AI32" s="10">
        <f t="shared" si="4"/>
        <v>0</v>
      </c>
    </row>
    <row r="33" spans="1:35" x14ac:dyDescent="0.3">
      <c r="A33" s="6">
        <v>22</v>
      </c>
      <c r="B33" s="54">
        <v>10</v>
      </c>
      <c r="C33" s="53" t="s">
        <v>78</v>
      </c>
      <c r="D33" s="59"/>
      <c r="E33" s="65"/>
      <c r="F33" s="65"/>
      <c r="G33" s="65"/>
      <c r="H33" s="4"/>
      <c r="I33" s="4"/>
      <c r="J33" s="4"/>
      <c r="K33" s="4"/>
      <c r="L33" s="4"/>
      <c r="M33" s="59"/>
      <c r="N33" s="4"/>
      <c r="O33" s="4"/>
      <c r="P33" s="4"/>
      <c r="Q33" s="4"/>
      <c r="R33" s="4"/>
      <c r="S33" s="59"/>
      <c r="T33" s="4"/>
      <c r="U33" s="4"/>
      <c r="V33" s="4"/>
      <c r="W33" s="4"/>
      <c r="X33" s="59"/>
      <c r="Y33" s="4"/>
      <c r="Z33" s="4"/>
      <c r="AA33" s="4"/>
      <c r="AB33" s="4"/>
      <c r="AC33" s="4"/>
      <c r="AD33" s="59"/>
      <c r="AE33" s="4">
        <f t="shared" si="0"/>
        <v>0</v>
      </c>
      <c r="AF33" s="4">
        <f t="shared" si="1"/>
        <v>0</v>
      </c>
      <c r="AG33" s="4">
        <f t="shared" si="2"/>
        <v>0</v>
      </c>
      <c r="AH33" s="4">
        <f t="shared" si="3"/>
        <v>0</v>
      </c>
      <c r="AI33" s="10">
        <f t="shared" si="4"/>
        <v>0</v>
      </c>
    </row>
    <row r="34" spans="1:35" x14ac:dyDescent="0.3">
      <c r="A34" s="6">
        <v>23</v>
      </c>
      <c r="B34" s="54">
        <v>10</v>
      </c>
      <c r="C34" s="53" t="s">
        <v>79</v>
      </c>
      <c r="D34" s="59"/>
      <c r="E34" s="65"/>
      <c r="F34" s="65"/>
      <c r="G34" s="65"/>
      <c r="H34" s="4"/>
      <c r="I34" s="4"/>
      <c r="J34" s="4"/>
      <c r="K34" s="4"/>
      <c r="L34" s="4"/>
      <c r="M34" s="59"/>
      <c r="N34" s="4"/>
      <c r="O34" s="4"/>
      <c r="P34" s="4"/>
      <c r="Q34" s="4"/>
      <c r="R34" s="4"/>
      <c r="S34" s="59"/>
      <c r="T34" s="4"/>
      <c r="U34" s="4"/>
      <c r="V34" s="4"/>
      <c r="W34" s="4"/>
      <c r="X34" s="59"/>
      <c r="Y34" s="4"/>
      <c r="Z34" s="4"/>
      <c r="AA34" s="4"/>
      <c r="AB34" s="4"/>
      <c r="AC34" s="4"/>
      <c r="AD34" s="59"/>
      <c r="AE34" s="4">
        <f t="shared" si="0"/>
        <v>0</v>
      </c>
      <c r="AF34" s="4">
        <f t="shared" si="1"/>
        <v>0</v>
      </c>
      <c r="AG34" s="4">
        <f t="shared" si="2"/>
        <v>0</v>
      </c>
      <c r="AH34" s="4">
        <f t="shared" si="3"/>
        <v>0</v>
      </c>
      <c r="AI34" s="10">
        <f t="shared" si="4"/>
        <v>0</v>
      </c>
    </row>
    <row r="35" spans="1:35" x14ac:dyDescent="0.3">
      <c r="A35" s="6">
        <v>24</v>
      </c>
      <c r="B35" s="54">
        <v>10</v>
      </c>
      <c r="C35" s="53" t="s">
        <v>80</v>
      </c>
      <c r="D35" s="59"/>
      <c r="E35" s="65"/>
      <c r="F35" s="65"/>
      <c r="G35" s="65"/>
      <c r="H35" s="4"/>
      <c r="I35" s="4"/>
      <c r="J35" s="4"/>
      <c r="K35" s="4"/>
      <c r="L35" s="4"/>
      <c r="M35" s="59"/>
      <c r="N35" s="4"/>
      <c r="O35" s="4"/>
      <c r="P35" s="4"/>
      <c r="Q35" s="4"/>
      <c r="R35" s="4"/>
      <c r="S35" s="59"/>
      <c r="T35" s="4"/>
      <c r="U35" s="4"/>
      <c r="V35" s="4"/>
      <c r="W35" s="4"/>
      <c r="X35" s="59"/>
      <c r="Y35" s="4"/>
      <c r="Z35" s="4"/>
      <c r="AA35" s="4"/>
      <c r="AB35" s="4"/>
      <c r="AC35" s="4"/>
      <c r="AD35" s="59"/>
      <c r="AE35" s="4">
        <f t="shared" si="0"/>
        <v>0</v>
      </c>
      <c r="AF35" s="4">
        <f t="shared" si="1"/>
        <v>0</v>
      </c>
      <c r="AG35" s="4">
        <f t="shared" si="2"/>
        <v>0</v>
      </c>
      <c r="AH35" s="4">
        <f t="shared" si="3"/>
        <v>0</v>
      </c>
      <c r="AI35" s="10">
        <f t="shared" si="4"/>
        <v>0</v>
      </c>
    </row>
    <row r="36" spans="1:35" x14ac:dyDescent="0.3">
      <c r="A36" s="6">
        <v>25</v>
      </c>
      <c r="B36" s="54">
        <v>10</v>
      </c>
      <c r="C36" s="53" t="s">
        <v>81</v>
      </c>
      <c r="D36" s="59"/>
      <c r="E36" s="65"/>
      <c r="F36" s="65"/>
      <c r="G36" s="65"/>
      <c r="H36" s="4"/>
      <c r="I36" s="4"/>
      <c r="J36" s="4"/>
      <c r="K36" s="4"/>
      <c r="L36" s="4"/>
      <c r="M36" s="59"/>
      <c r="N36" s="4"/>
      <c r="O36" s="4"/>
      <c r="P36" s="4"/>
      <c r="Q36" s="4"/>
      <c r="R36" s="4"/>
      <c r="S36" s="59"/>
      <c r="T36" s="4"/>
      <c r="U36" s="4"/>
      <c r="V36" s="4"/>
      <c r="W36" s="4"/>
      <c r="X36" s="59"/>
      <c r="Y36" s="4"/>
      <c r="Z36" s="4"/>
      <c r="AA36" s="4"/>
      <c r="AB36" s="4"/>
      <c r="AC36" s="4"/>
      <c r="AD36" s="59"/>
      <c r="AE36" s="4">
        <f t="shared" si="0"/>
        <v>0</v>
      </c>
      <c r="AF36" s="4">
        <f t="shared" si="1"/>
        <v>0</v>
      </c>
      <c r="AG36" s="4">
        <f t="shared" si="2"/>
        <v>0</v>
      </c>
      <c r="AH36" s="4">
        <f t="shared" si="3"/>
        <v>0</v>
      </c>
      <c r="AI36" s="10">
        <f t="shared" si="4"/>
        <v>0</v>
      </c>
    </row>
    <row r="37" spans="1:35" x14ac:dyDescent="0.3">
      <c r="A37" s="6">
        <v>26</v>
      </c>
      <c r="B37" s="54">
        <v>10</v>
      </c>
      <c r="C37" s="53" t="s">
        <v>82</v>
      </c>
      <c r="D37" s="59"/>
      <c r="E37" s="65"/>
      <c r="F37" s="65"/>
      <c r="G37" s="65"/>
      <c r="H37" s="4"/>
      <c r="I37" s="4"/>
      <c r="J37" s="4"/>
      <c r="K37" s="4"/>
      <c r="L37" s="4"/>
      <c r="M37" s="59"/>
      <c r="N37" s="4"/>
      <c r="O37" s="4"/>
      <c r="P37" s="4"/>
      <c r="Q37" s="4"/>
      <c r="R37" s="4"/>
      <c r="S37" s="59"/>
      <c r="T37" s="4"/>
      <c r="U37" s="4"/>
      <c r="V37" s="4"/>
      <c r="W37" s="4"/>
      <c r="X37" s="59"/>
      <c r="Y37" s="4"/>
      <c r="Z37" s="4"/>
      <c r="AA37" s="4"/>
      <c r="AB37" s="4"/>
      <c r="AC37" s="4"/>
      <c r="AD37" s="59"/>
      <c r="AE37" s="4">
        <f t="shared" ref="AE37:AE39" si="5">COUNTIF(D37:AC37,1)</f>
        <v>0</v>
      </c>
      <c r="AF37" s="4">
        <f t="shared" ref="AF37:AF39" si="6">COUNTIF(D37:AC37,0)</f>
        <v>0</v>
      </c>
      <c r="AG37" s="4">
        <f t="shared" ref="AG37:AG39" si="7">COUNTIF(D37:AC37,"T")</f>
        <v>0</v>
      </c>
      <c r="AH37" s="4">
        <f t="shared" ref="AH37:AH39" si="8">COUNTIF(D37:AC37,"J")</f>
        <v>0</v>
      </c>
      <c r="AI37" s="10">
        <f t="shared" ref="AI37:AI39" si="9">SUM(AE37+AG37)/19</f>
        <v>0</v>
      </c>
    </row>
    <row r="38" spans="1:35" x14ac:dyDescent="0.3">
      <c r="A38" s="6">
        <v>27</v>
      </c>
      <c r="B38" s="54">
        <v>10</v>
      </c>
      <c r="C38" s="53" t="s">
        <v>83</v>
      </c>
      <c r="D38" s="59"/>
      <c r="E38" s="65"/>
      <c r="F38" s="65"/>
      <c r="G38" s="65"/>
      <c r="H38" s="4"/>
      <c r="I38" s="4"/>
      <c r="J38" s="4"/>
      <c r="K38" s="4"/>
      <c r="L38" s="4"/>
      <c r="M38" s="59"/>
      <c r="N38" s="4"/>
      <c r="O38" s="4"/>
      <c r="P38" s="4"/>
      <c r="Q38" s="4"/>
      <c r="R38" s="4"/>
      <c r="S38" s="59"/>
      <c r="T38" s="4"/>
      <c r="U38" s="4"/>
      <c r="V38" s="4"/>
      <c r="W38" s="4"/>
      <c r="X38" s="59"/>
      <c r="Y38" s="4"/>
      <c r="Z38" s="4"/>
      <c r="AA38" s="4"/>
      <c r="AB38" s="4"/>
      <c r="AC38" s="4"/>
      <c r="AD38" s="59"/>
      <c r="AE38" s="4">
        <f t="shared" si="5"/>
        <v>0</v>
      </c>
      <c r="AF38" s="4">
        <f t="shared" si="6"/>
        <v>0</v>
      </c>
      <c r="AG38" s="4">
        <f t="shared" si="7"/>
        <v>0</v>
      </c>
      <c r="AH38" s="4">
        <f t="shared" si="8"/>
        <v>0</v>
      </c>
      <c r="AI38" s="10">
        <f t="shared" si="9"/>
        <v>0</v>
      </c>
    </row>
    <row r="39" spans="1:35" x14ac:dyDescent="0.3">
      <c r="A39" s="6">
        <v>28</v>
      </c>
      <c r="B39" s="54">
        <v>11</v>
      </c>
      <c r="C39" s="53" t="s">
        <v>84</v>
      </c>
      <c r="D39" s="59"/>
      <c r="E39" s="65"/>
      <c r="F39" s="65"/>
      <c r="G39" s="65"/>
      <c r="H39" s="4"/>
      <c r="I39" s="4"/>
      <c r="J39" s="4"/>
      <c r="K39" s="4"/>
      <c r="L39" s="4"/>
      <c r="M39" s="59"/>
      <c r="N39" s="4"/>
      <c r="O39" s="4"/>
      <c r="P39" s="4"/>
      <c r="Q39" s="4"/>
      <c r="R39" s="4"/>
      <c r="S39" s="59"/>
      <c r="T39" s="4"/>
      <c r="U39" s="4"/>
      <c r="V39" s="4"/>
      <c r="W39" s="4"/>
      <c r="X39" s="59"/>
      <c r="Y39" s="4"/>
      <c r="Z39" s="4"/>
      <c r="AA39" s="4"/>
      <c r="AB39" s="4"/>
      <c r="AC39" s="4"/>
      <c r="AD39" s="59"/>
      <c r="AE39" s="4">
        <f t="shared" si="5"/>
        <v>0</v>
      </c>
      <c r="AF39" s="4">
        <f t="shared" si="6"/>
        <v>0</v>
      </c>
      <c r="AG39" s="4">
        <f t="shared" si="7"/>
        <v>0</v>
      </c>
      <c r="AH39" s="4">
        <f t="shared" si="8"/>
        <v>0</v>
      </c>
      <c r="AI39" s="10">
        <f t="shared" si="9"/>
        <v>0</v>
      </c>
    </row>
  </sheetData>
  <mergeCells count="27">
    <mergeCell ref="C1:AE1"/>
    <mergeCell ref="A2:B7"/>
    <mergeCell ref="Y9:AI9"/>
    <mergeCell ref="AC10:AI10"/>
    <mergeCell ref="AF1:AI8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C2:Z6"/>
    <mergeCell ref="AD11:AD39"/>
    <mergeCell ref="C7:Z7"/>
    <mergeCell ref="AA2:AE3"/>
    <mergeCell ref="AA4:AE5"/>
    <mergeCell ref="AL11:AS11"/>
    <mergeCell ref="AA6:AE7"/>
    <mergeCell ref="D12:F39"/>
    <mergeCell ref="G11:G39"/>
    <mergeCell ref="M11:M39"/>
    <mergeCell ref="S11:S39"/>
    <mergeCell ref="X11:X39"/>
  </mergeCells>
  <conditionalFormatting sqref="D11:G11 M11 S11 X11 D12 H12:L39 N12:R39 T12:W39 Y12:AC39">
    <cfRule type="cellIs" dxfId="18" priority="1" stopIfTrue="1" operator="equal">
      <formula>"T"</formula>
    </cfRule>
  </conditionalFormatting>
  <conditionalFormatting sqref="H16:I23">
    <cfRule type="cellIs" dxfId="17" priority="4" stopIfTrue="1" operator="equal">
      <formula>"J"</formula>
    </cfRule>
  </conditionalFormatting>
  <conditionalFormatting sqref="H12:L39 M11 S11 X11 N12:R39 T12:W39 Y12:AC39">
    <cfRule type="cellIs" dxfId="16" priority="9" operator="equal">
      <formula>"J"</formula>
    </cfRule>
  </conditionalFormatting>
  <conditionalFormatting sqref="M11 S11 X11 H12:L39 N12:R39 T12:W39 Y12:AC39">
    <cfRule type="cellIs" dxfId="15" priority="3" operator="equal">
      <formula>"T"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7AE2BF5B-AA7F-43CB-9B27-ADF1BDEC4E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 D12 H12:L39 N12:R39 T12:W39 Y12:AC39</xm:sqref>
        </x14:conditionalFormatting>
        <x14:conditionalFormatting xmlns:xm="http://schemas.microsoft.com/office/excel/2006/main">
          <x14:cfRule type="iconSet" priority="6" id="{BEA079A8-6B6C-48C4-B06D-7E7FCD91EB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H15:J23 D40:AD63 H24:L39 N24:R39 T24:W39 Y24:AC39</xm:sqref>
        </x14:conditionalFormatting>
        <x14:conditionalFormatting xmlns:xm="http://schemas.microsoft.com/office/excel/2006/main">
          <x14:cfRule type="iconSet" priority="7" id="{0E59C8A3-8C8A-4918-8AE5-FA12A0C700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M11 S11 X11 H12:L39 N12:R39 T12:W39 Y12:AC39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5F67-6400-4205-8694-932D13AEAF08}">
  <sheetPr codeName="Hoja8"/>
  <dimension ref="A1:AO39"/>
  <sheetViews>
    <sheetView topLeftCell="A7" zoomScale="90" zoomScaleNormal="90" workbookViewId="0">
      <selection activeCell="AH11" sqref="AH11:AO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6" width="3" customWidth="1"/>
    <col min="7" max="7" width="3.21875" bestFit="1" customWidth="1"/>
    <col min="8" max="8" width="3.88671875" customWidth="1"/>
    <col min="9" max="12" width="3.21875" bestFit="1" customWidth="1"/>
    <col min="13" max="25" width="3.21875" customWidth="1"/>
    <col min="26" max="26" width="2.88671875" customWidth="1"/>
    <col min="27" max="27" width="11.77734375" customWidth="1"/>
    <col min="28" max="28" width="7.33203125" bestFit="1" customWidth="1"/>
    <col min="29" max="29" width="7" bestFit="1" customWidth="1"/>
    <col min="30" max="30" width="14.77734375" bestFit="1" customWidth="1"/>
    <col min="31" max="31" width="13.77734375" bestFit="1" customWidth="1"/>
  </cols>
  <sheetData>
    <row r="1" spans="1:41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5"/>
      <c r="AE1" s="66"/>
    </row>
    <row r="2" spans="1:41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65"/>
      <c r="AE2" s="66"/>
    </row>
    <row r="3" spans="1:41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65"/>
      <c r="AE3" s="66"/>
    </row>
    <row r="4" spans="1:41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65"/>
      <c r="AE4" s="66"/>
    </row>
    <row r="5" spans="1:41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65"/>
      <c r="AE5" s="66"/>
    </row>
    <row r="6" spans="1:41" x14ac:dyDescent="0.3">
      <c r="A6" s="59"/>
      <c r="B6" s="65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72" t="s">
        <v>16</v>
      </c>
      <c r="AB6" s="72"/>
      <c r="AC6" s="72"/>
      <c r="AD6" s="65"/>
      <c r="AE6" s="66"/>
    </row>
    <row r="7" spans="1:41" x14ac:dyDescent="0.3">
      <c r="A7" s="59"/>
      <c r="B7" s="65"/>
      <c r="C7" s="73" t="s">
        <v>18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2"/>
      <c r="AB7" s="72"/>
      <c r="AC7" s="72"/>
      <c r="AD7" s="65"/>
      <c r="AE7" s="66"/>
    </row>
    <row r="8" spans="1:41" x14ac:dyDescent="0.3">
      <c r="A8" s="59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6"/>
    </row>
    <row r="9" spans="1:41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7"/>
      <c r="Z9" s="68"/>
      <c r="AA9" s="68"/>
      <c r="AB9" s="68"/>
      <c r="AC9" s="68"/>
      <c r="AD9" s="68"/>
      <c r="AE9" s="69"/>
    </row>
    <row r="10" spans="1:41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4"/>
      <c r="Z10" s="64"/>
      <c r="AA10" s="64" t="s">
        <v>22</v>
      </c>
      <c r="AB10" s="64"/>
      <c r="AC10" s="60"/>
      <c r="AD10" s="61"/>
      <c r="AE10" s="62"/>
    </row>
    <row r="11" spans="1:41" s="3" customFormat="1" x14ac:dyDescent="0.3">
      <c r="A11" s="6" t="s">
        <v>8</v>
      </c>
      <c r="B11" s="2" t="s">
        <v>7</v>
      </c>
      <c r="C11" s="11" t="s">
        <v>0</v>
      </c>
      <c r="D11" s="1">
        <v>3</v>
      </c>
      <c r="E11" s="1">
        <v>4</v>
      </c>
      <c r="F11" s="1">
        <v>5</v>
      </c>
      <c r="G11" s="1">
        <v>6</v>
      </c>
      <c r="H11" s="58"/>
      <c r="I11" s="1">
        <v>10</v>
      </c>
      <c r="J11" s="1">
        <v>11</v>
      </c>
      <c r="K11" s="1">
        <v>12</v>
      </c>
      <c r="L11" s="1">
        <v>13</v>
      </c>
      <c r="M11" s="1">
        <v>14</v>
      </c>
      <c r="N11" s="58"/>
      <c r="O11" s="1">
        <v>18</v>
      </c>
      <c r="P11" s="1">
        <v>19</v>
      </c>
      <c r="Q11" s="1">
        <v>20</v>
      </c>
      <c r="R11" s="1">
        <v>21</v>
      </c>
      <c r="S11" s="58"/>
      <c r="T11" s="1">
        <v>24</v>
      </c>
      <c r="U11" s="1">
        <v>25</v>
      </c>
      <c r="V11" s="1">
        <v>26</v>
      </c>
      <c r="W11" s="1">
        <v>27</v>
      </c>
      <c r="X11" s="1">
        <v>28</v>
      </c>
      <c r="Y11" s="58"/>
      <c r="Z11" s="1">
        <v>31</v>
      </c>
      <c r="AA11" s="24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H11" s="55" t="s">
        <v>9</v>
      </c>
      <c r="AI11" s="56"/>
      <c r="AJ11" s="56"/>
      <c r="AK11" s="56"/>
      <c r="AL11" s="56"/>
      <c r="AM11" s="56"/>
      <c r="AN11" s="56"/>
      <c r="AO11" s="57"/>
    </row>
    <row r="12" spans="1:41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1"/>
      <c r="G12" s="1"/>
      <c r="H12" s="59"/>
      <c r="I12" s="1"/>
      <c r="J12" s="1"/>
      <c r="K12" s="1"/>
      <c r="L12" s="1"/>
      <c r="M12" s="1"/>
      <c r="N12" s="59"/>
      <c r="O12" s="1"/>
      <c r="P12" s="1"/>
      <c r="Q12" s="1"/>
      <c r="R12" s="1"/>
      <c r="S12" s="59"/>
      <c r="T12" s="1"/>
      <c r="U12" s="1"/>
      <c r="V12" s="1"/>
      <c r="W12" s="1"/>
      <c r="X12" s="1"/>
      <c r="Y12" s="59"/>
      <c r="Z12" s="1"/>
      <c r="AA12" s="25">
        <f t="shared" ref="AA12:AA36" si="0">COUNTIF(D12:Y12,1)</f>
        <v>0</v>
      </c>
      <c r="AB12" s="4">
        <f t="shared" ref="AB12:AB36" si="1">COUNTIF(D12:Y12,0)</f>
        <v>0</v>
      </c>
      <c r="AC12" s="4">
        <f t="shared" ref="AC12:AC36" si="2">COUNTIF(D12:Y12,"T")</f>
        <v>0</v>
      </c>
      <c r="AD12" s="4">
        <f t="shared" ref="AD12:AD36" si="3">COUNTIF(D12:Y12,"J")</f>
        <v>0</v>
      </c>
      <c r="AE12" s="10">
        <f>SUM(AA12+AC12)/19</f>
        <v>0</v>
      </c>
      <c r="AH12" s="17"/>
      <c r="AI12" s="14">
        <v>1</v>
      </c>
      <c r="AJ12" s="3" t="s">
        <v>10</v>
      </c>
      <c r="AK12" s="8"/>
      <c r="AL12" s="8"/>
      <c r="AO12" s="18"/>
    </row>
    <row r="13" spans="1:41" s="3" customFormat="1" x14ac:dyDescent="0.3">
      <c r="A13" s="6">
        <v>2</v>
      </c>
      <c r="B13" s="47">
        <v>6</v>
      </c>
      <c r="C13" s="53" t="s">
        <v>58</v>
      </c>
      <c r="D13" s="1"/>
      <c r="E13" s="4"/>
      <c r="F13" s="1"/>
      <c r="G13" s="1"/>
      <c r="H13" s="59"/>
      <c r="I13" s="1"/>
      <c r="J13" s="1"/>
      <c r="K13" s="1"/>
      <c r="L13" s="1"/>
      <c r="M13" s="1"/>
      <c r="N13" s="59"/>
      <c r="O13" s="1"/>
      <c r="P13" s="1"/>
      <c r="Q13" s="1"/>
      <c r="R13" s="1"/>
      <c r="S13" s="59"/>
      <c r="T13" s="1"/>
      <c r="U13" s="1"/>
      <c r="V13" s="1"/>
      <c r="W13" s="1"/>
      <c r="X13" s="1"/>
      <c r="Y13" s="59"/>
      <c r="Z13" s="1"/>
      <c r="AA13" s="25">
        <f t="shared" si="0"/>
        <v>0</v>
      </c>
      <c r="AB13" s="4">
        <f t="shared" si="1"/>
        <v>0</v>
      </c>
      <c r="AC13" s="4">
        <f t="shared" si="2"/>
        <v>0</v>
      </c>
      <c r="AD13" s="4">
        <f t="shared" si="3"/>
        <v>0</v>
      </c>
      <c r="AE13" s="10">
        <f t="shared" ref="AE13:AE36" si="4">SUM(AA13+AC13)/19</f>
        <v>0</v>
      </c>
      <c r="AH13" s="17"/>
      <c r="AI13" s="15">
        <v>0</v>
      </c>
      <c r="AJ13" s="3" t="s">
        <v>14</v>
      </c>
      <c r="AO13" s="18"/>
    </row>
    <row r="14" spans="1:41" s="3" customFormat="1" x14ac:dyDescent="0.3">
      <c r="A14" s="6">
        <v>3</v>
      </c>
      <c r="B14" s="47">
        <v>6</v>
      </c>
      <c r="C14" s="53" t="s">
        <v>59</v>
      </c>
      <c r="D14" s="1"/>
      <c r="E14" s="4"/>
      <c r="F14" s="4"/>
      <c r="G14" s="4"/>
      <c r="H14" s="59"/>
      <c r="I14" s="1"/>
      <c r="J14" s="1"/>
      <c r="K14" s="1"/>
      <c r="L14" s="1"/>
      <c r="M14" s="1"/>
      <c r="N14" s="59"/>
      <c r="O14" s="1"/>
      <c r="P14" s="1"/>
      <c r="Q14" s="1"/>
      <c r="R14" s="1"/>
      <c r="S14" s="59"/>
      <c r="T14" s="1"/>
      <c r="U14" s="1"/>
      <c r="V14" s="1"/>
      <c r="W14" s="1"/>
      <c r="X14" s="1"/>
      <c r="Y14" s="59"/>
      <c r="Z14" s="1"/>
      <c r="AA14" s="25">
        <f t="shared" si="0"/>
        <v>0</v>
      </c>
      <c r="AB14" s="4">
        <f t="shared" si="1"/>
        <v>0</v>
      </c>
      <c r="AC14" s="4">
        <f t="shared" si="2"/>
        <v>0</v>
      </c>
      <c r="AD14" s="4">
        <f t="shared" si="3"/>
        <v>0</v>
      </c>
      <c r="AE14" s="10">
        <f t="shared" si="4"/>
        <v>0</v>
      </c>
      <c r="AH14" s="17"/>
      <c r="AI14" s="16" t="s">
        <v>11</v>
      </c>
      <c r="AJ14" s="3" t="s">
        <v>12</v>
      </c>
      <c r="AO14" s="18"/>
    </row>
    <row r="15" spans="1:41" ht="15" thickBot="1" x14ac:dyDescent="0.35">
      <c r="A15" s="6">
        <v>4</v>
      </c>
      <c r="B15" s="47">
        <v>7</v>
      </c>
      <c r="C15" s="53" t="s">
        <v>60</v>
      </c>
      <c r="D15" s="1"/>
      <c r="E15" s="4"/>
      <c r="F15" s="4"/>
      <c r="G15" s="4"/>
      <c r="H15" s="59"/>
      <c r="I15" s="4"/>
      <c r="J15" s="4"/>
      <c r="K15" s="4"/>
      <c r="L15" s="1"/>
      <c r="M15" s="1"/>
      <c r="N15" s="59"/>
      <c r="O15" s="1"/>
      <c r="P15" s="1"/>
      <c r="Q15" s="1"/>
      <c r="R15" s="1"/>
      <c r="S15" s="59"/>
      <c r="T15" s="1"/>
      <c r="U15" s="1"/>
      <c r="V15" s="1"/>
      <c r="W15" s="1"/>
      <c r="X15" s="1"/>
      <c r="Y15" s="59"/>
      <c r="Z15" s="1"/>
      <c r="AA15" s="25">
        <f t="shared" si="0"/>
        <v>0</v>
      </c>
      <c r="AB15" s="4">
        <f t="shared" si="1"/>
        <v>0</v>
      </c>
      <c r="AC15" s="4">
        <f t="shared" si="2"/>
        <v>0</v>
      </c>
      <c r="AD15" s="4">
        <f t="shared" si="3"/>
        <v>0</v>
      </c>
      <c r="AE15" s="10">
        <f t="shared" si="4"/>
        <v>0</v>
      </c>
      <c r="AH15" s="19"/>
      <c r="AI15" s="20" t="s">
        <v>6</v>
      </c>
      <c r="AJ15" s="21" t="s">
        <v>13</v>
      </c>
      <c r="AK15" s="22"/>
      <c r="AL15" s="22"/>
      <c r="AM15" s="22"/>
      <c r="AN15" s="22"/>
      <c r="AO15" s="23"/>
    </row>
    <row r="16" spans="1:41" x14ac:dyDescent="0.3">
      <c r="A16" s="6">
        <v>5</v>
      </c>
      <c r="B16" s="47">
        <v>7</v>
      </c>
      <c r="C16" s="53" t="s">
        <v>61</v>
      </c>
      <c r="D16" s="1"/>
      <c r="E16" s="1"/>
      <c r="F16" s="4"/>
      <c r="G16" s="4"/>
      <c r="H16" s="59"/>
      <c r="I16" s="4"/>
      <c r="J16" s="4"/>
      <c r="K16" s="4"/>
      <c r="L16" s="1"/>
      <c r="M16" s="1"/>
      <c r="N16" s="59"/>
      <c r="O16" s="1"/>
      <c r="P16" s="1"/>
      <c r="Q16" s="1"/>
      <c r="R16" s="1"/>
      <c r="S16" s="59"/>
      <c r="T16" s="1"/>
      <c r="U16" s="1"/>
      <c r="V16" s="1"/>
      <c r="W16" s="1"/>
      <c r="X16" s="1"/>
      <c r="Y16" s="59"/>
      <c r="Z16" s="1"/>
      <c r="AA16" s="25">
        <f t="shared" si="0"/>
        <v>0</v>
      </c>
      <c r="AB16" s="4">
        <f t="shared" si="1"/>
        <v>0</v>
      </c>
      <c r="AC16" s="4">
        <f t="shared" si="2"/>
        <v>0</v>
      </c>
      <c r="AD16" s="4">
        <f t="shared" si="3"/>
        <v>0</v>
      </c>
      <c r="AE16" s="10">
        <f t="shared" si="4"/>
        <v>0</v>
      </c>
      <c r="AI16" t="s">
        <v>50</v>
      </c>
      <c r="AJ16" s="3" t="s">
        <v>51</v>
      </c>
    </row>
    <row r="17" spans="1:39" x14ac:dyDescent="0.3">
      <c r="A17" s="6">
        <v>6</v>
      </c>
      <c r="B17" s="47">
        <v>7</v>
      </c>
      <c r="C17" s="53" t="s">
        <v>62</v>
      </c>
      <c r="D17" s="1"/>
      <c r="E17" s="1"/>
      <c r="F17" s="4"/>
      <c r="G17" s="4"/>
      <c r="H17" s="59"/>
      <c r="I17" s="4"/>
      <c r="J17" s="4"/>
      <c r="K17" s="4"/>
      <c r="L17" s="1"/>
      <c r="M17" s="1"/>
      <c r="N17" s="59"/>
      <c r="O17" s="1"/>
      <c r="P17" s="1"/>
      <c r="Q17" s="1"/>
      <c r="R17" s="1"/>
      <c r="S17" s="59"/>
      <c r="T17" s="1"/>
      <c r="U17" s="1"/>
      <c r="V17" s="1"/>
      <c r="W17" s="1"/>
      <c r="X17" s="1"/>
      <c r="Y17" s="59"/>
      <c r="Z17" s="1"/>
      <c r="AA17" s="25">
        <f t="shared" si="0"/>
        <v>0</v>
      </c>
      <c r="AB17" s="4">
        <f t="shared" si="1"/>
        <v>0</v>
      </c>
      <c r="AC17" s="4">
        <f t="shared" si="2"/>
        <v>0</v>
      </c>
      <c r="AD17" s="4">
        <f t="shared" si="3"/>
        <v>0</v>
      </c>
      <c r="AE17" s="10">
        <f t="shared" si="4"/>
        <v>0</v>
      </c>
    </row>
    <row r="18" spans="1:39" x14ac:dyDescent="0.3">
      <c r="A18" s="6">
        <v>7</v>
      </c>
      <c r="B18" s="47">
        <v>7</v>
      </c>
      <c r="C18" s="53" t="s">
        <v>63</v>
      </c>
      <c r="D18" s="1"/>
      <c r="E18" s="1"/>
      <c r="F18" s="4"/>
      <c r="G18" s="4"/>
      <c r="H18" s="59"/>
      <c r="I18" s="4"/>
      <c r="J18" s="4"/>
      <c r="K18" s="4"/>
      <c r="L18" s="1"/>
      <c r="M18" s="1"/>
      <c r="N18" s="59"/>
      <c r="O18" s="1"/>
      <c r="P18" s="1"/>
      <c r="Q18" s="1"/>
      <c r="R18" s="1"/>
      <c r="S18" s="59"/>
      <c r="T18" s="1"/>
      <c r="U18" s="1"/>
      <c r="V18" s="1"/>
      <c r="W18" s="1"/>
      <c r="X18" s="1"/>
      <c r="Y18" s="59"/>
      <c r="Z18" s="1"/>
      <c r="AA18" s="25">
        <f t="shared" si="0"/>
        <v>0</v>
      </c>
      <c r="AB18" s="4">
        <f t="shared" si="1"/>
        <v>0</v>
      </c>
      <c r="AC18" s="4">
        <f t="shared" si="2"/>
        <v>0</v>
      </c>
      <c r="AD18" s="4">
        <f t="shared" si="3"/>
        <v>0</v>
      </c>
      <c r="AE18" s="10">
        <f t="shared" si="4"/>
        <v>0</v>
      </c>
      <c r="AJ18" s="8"/>
      <c r="AL18" s="3"/>
      <c r="AM18" s="3"/>
    </row>
    <row r="19" spans="1:39" x14ac:dyDescent="0.3">
      <c r="A19" s="6">
        <v>8</v>
      </c>
      <c r="B19" s="47">
        <v>7</v>
      </c>
      <c r="C19" s="53" t="s">
        <v>64</v>
      </c>
      <c r="D19" s="1"/>
      <c r="E19" s="1"/>
      <c r="F19" s="4"/>
      <c r="G19" s="4"/>
      <c r="H19" s="59"/>
      <c r="I19" s="4"/>
      <c r="J19" s="4"/>
      <c r="K19" s="4"/>
      <c r="L19" s="1"/>
      <c r="M19" s="1"/>
      <c r="N19" s="59"/>
      <c r="O19" s="1"/>
      <c r="P19" s="1"/>
      <c r="Q19" s="1"/>
      <c r="R19" s="1"/>
      <c r="S19" s="59"/>
      <c r="T19" s="1"/>
      <c r="U19" s="1"/>
      <c r="V19" s="1"/>
      <c r="W19" s="1"/>
      <c r="X19" s="1"/>
      <c r="Y19" s="59"/>
      <c r="Z19" s="1"/>
      <c r="AA19" s="25">
        <f t="shared" si="0"/>
        <v>0</v>
      </c>
      <c r="AB19" s="4">
        <f t="shared" si="1"/>
        <v>0</v>
      </c>
      <c r="AC19" s="4">
        <f t="shared" si="2"/>
        <v>0</v>
      </c>
      <c r="AD19" s="4">
        <f t="shared" si="3"/>
        <v>0</v>
      </c>
      <c r="AE19" s="10">
        <f t="shared" si="4"/>
        <v>0</v>
      </c>
      <c r="AJ19" s="8"/>
    </row>
    <row r="20" spans="1:39" x14ac:dyDescent="0.3">
      <c r="A20" s="6">
        <v>9</v>
      </c>
      <c r="B20" s="47">
        <v>7</v>
      </c>
      <c r="C20" s="53" t="s">
        <v>65</v>
      </c>
      <c r="D20" s="1"/>
      <c r="E20" s="1"/>
      <c r="F20" s="4"/>
      <c r="G20" s="4"/>
      <c r="H20" s="59"/>
      <c r="I20" s="4"/>
      <c r="J20" s="4"/>
      <c r="K20" s="4"/>
      <c r="L20" s="1"/>
      <c r="M20" s="1"/>
      <c r="N20" s="59"/>
      <c r="O20" s="1"/>
      <c r="P20" s="1"/>
      <c r="Q20" s="1"/>
      <c r="R20" s="1"/>
      <c r="S20" s="59"/>
      <c r="T20" s="1"/>
      <c r="U20" s="1"/>
      <c r="V20" s="1"/>
      <c r="W20" s="1"/>
      <c r="X20" s="1"/>
      <c r="Y20" s="59"/>
      <c r="Z20" s="1"/>
      <c r="AA20" s="25">
        <f t="shared" si="0"/>
        <v>0</v>
      </c>
      <c r="AB20" s="4">
        <f t="shared" si="1"/>
        <v>0</v>
      </c>
      <c r="AC20" s="4">
        <f t="shared" si="2"/>
        <v>0</v>
      </c>
      <c r="AD20" s="4">
        <f t="shared" si="3"/>
        <v>0</v>
      </c>
      <c r="AE20" s="10">
        <f t="shared" si="4"/>
        <v>0</v>
      </c>
      <c r="AJ20" s="8"/>
      <c r="AK20" s="3"/>
      <c r="AL20" s="3"/>
      <c r="AM20" s="3"/>
    </row>
    <row r="21" spans="1:39" x14ac:dyDescent="0.3">
      <c r="A21" s="6">
        <v>10</v>
      </c>
      <c r="B21" s="47">
        <v>7</v>
      </c>
      <c r="C21" s="53" t="s">
        <v>66</v>
      </c>
      <c r="D21" s="1"/>
      <c r="E21" s="1"/>
      <c r="F21" s="4"/>
      <c r="G21" s="4"/>
      <c r="H21" s="59"/>
      <c r="I21" s="4"/>
      <c r="J21" s="4"/>
      <c r="K21" s="4"/>
      <c r="L21" s="1"/>
      <c r="M21" s="1"/>
      <c r="N21" s="59"/>
      <c r="O21" s="1"/>
      <c r="P21" s="1"/>
      <c r="Q21" s="1"/>
      <c r="R21" s="1"/>
      <c r="S21" s="59"/>
      <c r="T21" s="1"/>
      <c r="U21" s="1"/>
      <c r="V21" s="1"/>
      <c r="W21" s="1"/>
      <c r="X21" s="1"/>
      <c r="Y21" s="59"/>
      <c r="Z21" s="1"/>
      <c r="AA21" s="25">
        <f t="shared" si="0"/>
        <v>0</v>
      </c>
      <c r="AB21" s="4">
        <f t="shared" si="1"/>
        <v>0</v>
      </c>
      <c r="AC21" s="4">
        <f t="shared" si="2"/>
        <v>0</v>
      </c>
      <c r="AD21" s="4">
        <f t="shared" si="3"/>
        <v>0</v>
      </c>
      <c r="AE21" s="10">
        <f t="shared" si="4"/>
        <v>0</v>
      </c>
      <c r="AJ21" s="7"/>
    </row>
    <row r="22" spans="1:39" x14ac:dyDescent="0.3">
      <c r="A22" s="6">
        <v>11</v>
      </c>
      <c r="B22" s="47">
        <v>8</v>
      </c>
      <c r="C22" s="53" t="s">
        <v>67</v>
      </c>
      <c r="D22" s="1"/>
      <c r="E22" s="1"/>
      <c r="F22" s="4"/>
      <c r="G22" s="4"/>
      <c r="H22" s="59"/>
      <c r="I22" s="4"/>
      <c r="J22" s="4"/>
      <c r="K22" s="4"/>
      <c r="L22" s="1"/>
      <c r="M22" s="1"/>
      <c r="N22" s="59"/>
      <c r="O22" s="1"/>
      <c r="P22" s="1"/>
      <c r="Q22" s="1"/>
      <c r="R22" s="1"/>
      <c r="S22" s="59"/>
      <c r="T22" s="1"/>
      <c r="U22" s="1"/>
      <c r="V22" s="1"/>
      <c r="W22" s="1"/>
      <c r="X22" s="1"/>
      <c r="Y22" s="59"/>
      <c r="Z22" s="1"/>
      <c r="AA22" s="25">
        <f t="shared" si="0"/>
        <v>0</v>
      </c>
      <c r="AB22" s="4">
        <f t="shared" si="1"/>
        <v>0</v>
      </c>
      <c r="AC22" s="4">
        <f t="shared" si="2"/>
        <v>0</v>
      </c>
      <c r="AD22" s="4">
        <f t="shared" si="3"/>
        <v>0</v>
      </c>
      <c r="AE22" s="10">
        <f t="shared" si="4"/>
        <v>0</v>
      </c>
    </row>
    <row r="23" spans="1:39" x14ac:dyDescent="0.3">
      <c r="A23" s="6">
        <v>12</v>
      </c>
      <c r="B23" s="47">
        <v>8</v>
      </c>
      <c r="C23" s="53" t="s">
        <v>68</v>
      </c>
      <c r="D23" s="1"/>
      <c r="E23" s="1"/>
      <c r="F23" s="4"/>
      <c r="G23" s="4"/>
      <c r="H23" s="59"/>
      <c r="I23" s="4"/>
      <c r="J23" s="4"/>
      <c r="K23" s="4"/>
      <c r="L23" s="1"/>
      <c r="M23" s="1"/>
      <c r="N23" s="59"/>
      <c r="O23" s="1"/>
      <c r="P23" s="1"/>
      <c r="Q23" s="1"/>
      <c r="R23" s="1"/>
      <c r="S23" s="59"/>
      <c r="T23" s="1"/>
      <c r="U23" s="1"/>
      <c r="V23" s="1"/>
      <c r="W23" s="1"/>
      <c r="X23" s="1"/>
      <c r="Y23" s="59"/>
      <c r="Z23" s="1"/>
      <c r="AA23" s="25">
        <f t="shared" si="0"/>
        <v>0</v>
      </c>
      <c r="AB23" s="4">
        <f t="shared" si="1"/>
        <v>0</v>
      </c>
      <c r="AC23" s="4">
        <f t="shared" si="2"/>
        <v>0</v>
      </c>
      <c r="AD23" s="4">
        <f t="shared" si="3"/>
        <v>0</v>
      </c>
      <c r="AE23" s="10">
        <f t="shared" si="4"/>
        <v>0</v>
      </c>
    </row>
    <row r="24" spans="1:39" x14ac:dyDescent="0.3">
      <c r="A24" s="6">
        <v>13</v>
      </c>
      <c r="B24" s="47">
        <v>8</v>
      </c>
      <c r="C24" s="53" t="s">
        <v>69</v>
      </c>
      <c r="D24" s="4"/>
      <c r="E24" s="4"/>
      <c r="F24" s="4"/>
      <c r="G24" s="4"/>
      <c r="H24" s="59"/>
      <c r="I24" s="4"/>
      <c r="J24" s="4"/>
      <c r="K24" s="4"/>
      <c r="L24" s="4"/>
      <c r="M24" s="4"/>
      <c r="N24" s="59"/>
      <c r="O24" s="4"/>
      <c r="P24" s="4"/>
      <c r="Q24" s="4"/>
      <c r="R24" s="4"/>
      <c r="S24" s="59"/>
      <c r="T24" s="4"/>
      <c r="U24" s="4"/>
      <c r="V24" s="4"/>
      <c r="W24" s="4"/>
      <c r="X24" s="4"/>
      <c r="Y24" s="59"/>
      <c r="Z24" s="1"/>
      <c r="AA24" s="25">
        <f t="shared" si="0"/>
        <v>0</v>
      </c>
      <c r="AB24" s="4">
        <f t="shared" si="1"/>
        <v>0</v>
      </c>
      <c r="AC24" s="4">
        <f t="shared" si="2"/>
        <v>0</v>
      </c>
      <c r="AD24" s="4">
        <f t="shared" si="3"/>
        <v>0</v>
      </c>
      <c r="AE24" s="10">
        <f t="shared" si="4"/>
        <v>0</v>
      </c>
    </row>
    <row r="25" spans="1:39" x14ac:dyDescent="0.3">
      <c r="A25" s="6">
        <v>14</v>
      </c>
      <c r="B25" s="47">
        <v>8</v>
      </c>
      <c r="C25" s="53" t="s">
        <v>70</v>
      </c>
      <c r="D25" s="4"/>
      <c r="E25" s="4"/>
      <c r="F25" s="4"/>
      <c r="G25" s="4"/>
      <c r="H25" s="59"/>
      <c r="I25" s="4"/>
      <c r="J25" s="4"/>
      <c r="K25" s="4"/>
      <c r="L25" s="4"/>
      <c r="M25" s="4"/>
      <c r="N25" s="59"/>
      <c r="O25" s="4"/>
      <c r="P25" s="4"/>
      <c r="Q25" s="4"/>
      <c r="R25" s="4"/>
      <c r="S25" s="59"/>
      <c r="T25" s="4"/>
      <c r="U25" s="4"/>
      <c r="V25" s="4"/>
      <c r="W25" s="4"/>
      <c r="X25" s="4"/>
      <c r="Y25" s="59"/>
      <c r="Z25" s="1"/>
      <c r="AA25" s="25">
        <f t="shared" si="0"/>
        <v>0</v>
      </c>
      <c r="AB25" s="4">
        <f t="shared" si="1"/>
        <v>0</v>
      </c>
      <c r="AC25" s="4">
        <f t="shared" si="2"/>
        <v>0</v>
      </c>
      <c r="AD25" s="4">
        <f t="shared" si="3"/>
        <v>0</v>
      </c>
      <c r="AE25" s="10">
        <f t="shared" si="4"/>
        <v>0</v>
      </c>
    </row>
    <row r="26" spans="1:39" x14ac:dyDescent="0.3">
      <c r="A26" s="6">
        <v>15</v>
      </c>
      <c r="B26" s="47">
        <v>8</v>
      </c>
      <c r="C26" s="53" t="s">
        <v>71</v>
      </c>
      <c r="D26" s="4"/>
      <c r="E26" s="4"/>
      <c r="F26" s="4"/>
      <c r="G26" s="4"/>
      <c r="H26" s="59"/>
      <c r="I26" s="4"/>
      <c r="J26" s="4"/>
      <c r="K26" s="4"/>
      <c r="L26" s="4"/>
      <c r="M26" s="4"/>
      <c r="N26" s="59"/>
      <c r="O26" s="4"/>
      <c r="P26" s="4"/>
      <c r="Q26" s="4"/>
      <c r="R26" s="4"/>
      <c r="S26" s="59"/>
      <c r="T26" s="4"/>
      <c r="U26" s="4"/>
      <c r="V26" s="4"/>
      <c r="W26" s="4"/>
      <c r="X26" s="4"/>
      <c r="Y26" s="59"/>
      <c r="Z26" s="1"/>
      <c r="AA26" s="25">
        <f t="shared" si="0"/>
        <v>0</v>
      </c>
      <c r="AB26" s="4">
        <f t="shared" si="1"/>
        <v>0</v>
      </c>
      <c r="AC26" s="4">
        <f t="shared" si="2"/>
        <v>0</v>
      </c>
      <c r="AD26" s="4">
        <f t="shared" si="3"/>
        <v>0</v>
      </c>
      <c r="AE26" s="10">
        <f t="shared" si="4"/>
        <v>0</v>
      </c>
    </row>
    <row r="27" spans="1:39" x14ac:dyDescent="0.3">
      <c r="A27" s="6">
        <v>16</v>
      </c>
      <c r="B27" s="54">
        <v>9</v>
      </c>
      <c r="C27" s="53" t="s">
        <v>72</v>
      </c>
      <c r="D27" s="4"/>
      <c r="E27" s="4"/>
      <c r="F27" s="4"/>
      <c r="G27" s="4"/>
      <c r="H27" s="59"/>
      <c r="I27" s="4"/>
      <c r="J27" s="4"/>
      <c r="K27" s="4"/>
      <c r="L27" s="4"/>
      <c r="M27" s="4"/>
      <c r="N27" s="59"/>
      <c r="O27" s="4"/>
      <c r="P27" s="4"/>
      <c r="Q27" s="4"/>
      <c r="R27" s="4"/>
      <c r="S27" s="59"/>
      <c r="T27" s="4"/>
      <c r="U27" s="4"/>
      <c r="V27" s="4"/>
      <c r="W27" s="4"/>
      <c r="X27" s="4"/>
      <c r="Y27" s="59"/>
      <c r="Z27" s="1"/>
      <c r="AA27" s="25">
        <f t="shared" si="0"/>
        <v>0</v>
      </c>
      <c r="AB27" s="4">
        <f t="shared" si="1"/>
        <v>0</v>
      </c>
      <c r="AC27" s="4">
        <f t="shared" si="2"/>
        <v>0</v>
      </c>
      <c r="AD27" s="4">
        <f t="shared" si="3"/>
        <v>0</v>
      </c>
      <c r="AE27" s="10">
        <f t="shared" si="4"/>
        <v>0</v>
      </c>
    </row>
    <row r="28" spans="1:39" x14ac:dyDescent="0.3">
      <c r="A28" s="6">
        <v>17</v>
      </c>
      <c r="B28" s="54">
        <v>9</v>
      </c>
      <c r="C28" s="53" t="s">
        <v>73</v>
      </c>
      <c r="D28" s="4"/>
      <c r="E28" s="4"/>
      <c r="F28" s="4"/>
      <c r="G28" s="4"/>
      <c r="H28" s="59"/>
      <c r="I28" s="4"/>
      <c r="J28" s="4"/>
      <c r="K28" s="4"/>
      <c r="L28" s="4"/>
      <c r="M28" s="4"/>
      <c r="N28" s="59"/>
      <c r="O28" s="4"/>
      <c r="P28" s="4"/>
      <c r="Q28" s="4"/>
      <c r="R28" s="4"/>
      <c r="S28" s="59"/>
      <c r="T28" s="4"/>
      <c r="U28" s="4"/>
      <c r="V28" s="4"/>
      <c r="W28" s="4"/>
      <c r="X28" s="4"/>
      <c r="Y28" s="59"/>
      <c r="Z28" s="1"/>
      <c r="AA28" s="25">
        <f t="shared" si="0"/>
        <v>0</v>
      </c>
      <c r="AB28" s="4">
        <f t="shared" si="1"/>
        <v>0</v>
      </c>
      <c r="AC28" s="4">
        <f t="shared" si="2"/>
        <v>0</v>
      </c>
      <c r="AD28" s="4">
        <f t="shared" si="3"/>
        <v>0</v>
      </c>
      <c r="AE28" s="10">
        <f t="shared" si="4"/>
        <v>0</v>
      </c>
    </row>
    <row r="29" spans="1:39" x14ac:dyDescent="0.3">
      <c r="A29" s="6">
        <v>18</v>
      </c>
      <c r="B29" s="54">
        <v>9</v>
      </c>
      <c r="C29" s="53" t="s">
        <v>74</v>
      </c>
      <c r="D29" s="4"/>
      <c r="E29" s="4"/>
      <c r="F29" s="4"/>
      <c r="G29" s="4"/>
      <c r="H29" s="59"/>
      <c r="I29" s="4"/>
      <c r="J29" s="4"/>
      <c r="K29" s="4"/>
      <c r="L29" s="4"/>
      <c r="M29" s="4"/>
      <c r="N29" s="59"/>
      <c r="O29" s="4"/>
      <c r="P29" s="4"/>
      <c r="Q29" s="4"/>
      <c r="R29" s="4"/>
      <c r="S29" s="59"/>
      <c r="T29" s="4"/>
      <c r="U29" s="4"/>
      <c r="V29" s="4"/>
      <c r="W29" s="4"/>
      <c r="X29" s="4"/>
      <c r="Y29" s="59"/>
      <c r="Z29" s="1"/>
      <c r="AA29" s="25">
        <f t="shared" si="0"/>
        <v>0</v>
      </c>
      <c r="AB29" s="4">
        <f t="shared" si="1"/>
        <v>0</v>
      </c>
      <c r="AC29" s="4">
        <f t="shared" si="2"/>
        <v>0</v>
      </c>
      <c r="AD29" s="4">
        <f t="shared" si="3"/>
        <v>0</v>
      </c>
      <c r="AE29" s="10">
        <f t="shared" si="4"/>
        <v>0</v>
      </c>
    </row>
    <row r="30" spans="1:39" x14ac:dyDescent="0.3">
      <c r="A30" s="6">
        <v>19</v>
      </c>
      <c r="B30" s="54">
        <v>9</v>
      </c>
      <c r="C30" s="53" t="s">
        <v>75</v>
      </c>
      <c r="D30" s="4"/>
      <c r="E30" s="4"/>
      <c r="F30" s="4"/>
      <c r="G30" s="4"/>
      <c r="H30" s="59"/>
      <c r="I30" s="4"/>
      <c r="J30" s="4"/>
      <c r="K30" s="4"/>
      <c r="L30" s="4"/>
      <c r="M30" s="4"/>
      <c r="N30" s="59"/>
      <c r="O30" s="4"/>
      <c r="P30" s="4"/>
      <c r="Q30" s="4"/>
      <c r="R30" s="4"/>
      <c r="S30" s="59"/>
      <c r="T30" s="4"/>
      <c r="U30" s="4"/>
      <c r="V30" s="4"/>
      <c r="W30" s="4"/>
      <c r="X30" s="4"/>
      <c r="Y30" s="59"/>
      <c r="Z30" s="1"/>
      <c r="AA30" s="25">
        <f t="shared" si="0"/>
        <v>0</v>
      </c>
      <c r="AB30" s="4">
        <f t="shared" si="1"/>
        <v>0</v>
      </c>
      <c r="AC30" s="4">
        <f t="shared" si="2"/>
        <v>0</v>
      </c>
      <c r="AD30" s="4">
        <f t="shared" si="3"/>
        <v>0</v>
      </c>
      <c r="AE30" s="10">
        <f t="shared" si="4"/>
        <v>0</v>
      </c>
    </row>
    <row r="31" spans="1:39" x14ac:dyDescent="0.3">
      <c r="A31" s="6">
        <v>20</v>
      </c>
      <c r="B31" s="54">
        <v>9</v>
      </c>
      <c r="C31" s="53" t="s">
        <v>76</v>
      </c>
      <c r="D31" s="4"/>
      <c r="E31" s="4"/>
      <c r="F31" s="4"/>
      <c r="G31" s="4"/>
      <c r="H31" s="59"/>
      <c r="I31" s="4"/>
      <c r="J31" s="4"/>
      <c r="K31" s="4"/>
      <c r="L31" s="4"/>
      <c r="M31" s="4"/>
      <c r="N31" s="59"/>
      <c r="O31" s="4"/>
      <c r="P31" s="4"/>
      <c r="Q31" s="4"/>
      <c r="R31" s="4"/>
      <c r="S31" s="59"/>
      <c r="T31" s="4"/>
      <c r="U31" s="4"/>
      <c r="V31" s="4"/>
      <c r="W31" s="4"/>
      <c r="X31" s="4"/>
      <c r="Y31" s="59"/>
      <c r="Z31" s="1"/>
      <c r="AA31" s="25">
        <f t="shared" si="0"/>
        <v>0</v>
      </c>
      <c r="AB31" s="4">
        <f t="shared" si="1"/>
        <v>0</v>
      </c>
      <c r="AC31" s="4">
        <f t="shared" si="2"/>
        <v>0</v>
      </c>
      <c r="AD31" s="4">
        <f t="shared" si="3"/>
        <v>0</v>
      </c>
      <c r="AE31" s="10">
        <f t="shared" si="4"/>
        <v>0</v>
      </c>
    </row>
    <row r="32" spans="1:39" x14ac:dyDescent="0.3">
      <c r="A32" s="6">
        <v>21</v>
      </c>
      <c r="B32" s="54">
        <v>10</v>
      </c>
      <c r="C32" s="53" t="s">
        <v>77</v>
      </c>
      <c r="D32" s="4"/>
      <c r="E32" s="4"/>
      <c r="F32" s="4"/>
      <c r="G32" s="4"/>
      <c r="H32" s="59"/>
      <c r="I32" s="4"/>
      <c r="J32" s="4"/>
      <c r="K32" s="4"/>
      <c r="L32" s="4"/>
      <c r="M32" s="4"/>
      <c r="N32" s="59"/>
      <c r="O32" s="4"/>
      <c r="P32" s="4"/>
      <c r="Q32" s="4"/>
      <c r="R32" s="4"/>
      <c r="S32" s="59"/>
      <c r="T32" s="4"/>
      <c r="U32" s="4"/>
      <c r="V32" s="4"/>
      <c r="W32" s="4"/>
      <c r="X32" s="4"/>
      <c r="Y32" s="59"/>
      <c r="Z32" s="1"/>
      <c r="AA32" s="25">
        <f t="shared" si="0"/>
        <v>0</v>
      </c>
      <c r="AB32" s="4">
        <f t="shared" si="1"/>
        <v>0</v>
      </c>
      <c r="AC32" s="4">
        <f t="shared" si="2"/>
        <v>0</v>
      </c>
      <c r="AD32" s="4">
        <f t="shared" si="3"/>
        <v>0</v>
      </c>
      <c r="AE32" s="10">
        <f t="shared" si="4"/>
        <v>0</v>
      </c>
    </row>
    <row r="33" spans="1:31" x14ac:dyDescent="0.3">
      <c r="A33" s="6">
        <v>22</v>
      </c>
      <c r="B33" s="54">
        <v>10</v>
      </c>
      <c r="C33" s="53" t="s">
        <v>78</v>
      </c>
      <c r="D33" s="4"/>
      <c r="E33" s="4"/>
      <c r="F33" s="4"/>
      <c r="G33" s="4"/>
      <c r="H33" s="59"/>
      <c r="I33" s="4"/>
      <c r="J33" s="4"/>
      <c r="K33" s="4"/>
      <c r="L33" s="4"/>
      <c r="M33" s="4"/>
      <c r="N33" s="59"/>
      <c r="O33" s="4"/>
      <c r="P33" s="4"/>
      <c r="Q33" s="4"/>
      <c r="R33" s="4"/>
      <c r="S33" s="59"/>
      <c r="T33" s="4"/>
      <c r="U33" s="4"/>
      <c r="V33" s="4"/>
      <c r="W33" s="4"/>
      <c r="X33" s="4"/>
      <c r="Y33" s="59"/>
      <c r="Z33" s="1"/>
      <c r="AA33" s="25">
        <f t="shared" si="0"/>
        <v>0</v>
      </c>
      <c r="AB33" s="4">
        <f t="shared" si="1"/>
        <v>0</v>
      </c>
      <c r="AC33" s="4">
        <f t="shared" si="2"/>
        <v>0</v>
      </c>
      <c r="AD33" s="4">
        <f t="shared" si="3"/>
        <v>0</v>
      </c>
      <c r="AE33" s="10">
        <f t="shared" si="4"/>
        <v>0</v>
      </c>
    </row>
    <row r="34" spans="1:31" x14ac:dyDescent="0.3">
      <c r="A34" s="6">
        <v>23</v>
      </c>
      <c r="B34" s="54">
        <v>10</v>
      </c>
      <c r="C34" s="53" t="s">
        <v>79</v>
      </c>
      <c r="D34" s="4"/>
      <c r="E34" s="4"/>
      <c r="F34" s="4"/>
      <c r="G34" s="4"/>
      <c r="H34" s="59"/>
      <c r="I34" s="4"/>
      <c r="J34" s="4"/>
      <c r="K34" s="4"/>
      <c r="L34" s="4"/>
      <c r="M34" s="4"/>
      <c r="N34" s="59"/>
      <c r="O34" s="4"/>
      <c r="P34" s="4"/>
      <c r="Q34" s="4"/>
      <c r="R34" s="4"/>
      <c r="S34" s="59"/>
      <c r="T34" s="4"/>
      <c r="U34" s="4"/>
      <c r="V34" s="4"/>
      <c r="W34" s="4"/>
      <c r="X34" s="4"/>
      <c r="Y34" s="59"/>
      <c r="Z34" s="1"/>
      <c r="AA34" s="25">
        <f t="shared" si="0"/>
        <v>0</v>
      </c>
      <c r="AB34" s="4">
        <f t="shared" si="1"/>
        <v>0</v>
      </c>
      <c r="AC34" s="4">
        <f t="shared" si="2"/>
        <v>0</v>
      </c>
      <c r="AD34" s="4">
        <f t="shared" si="3"/>
        <v>0</v>
      </c>
      <c r="AE34" s="10">
        <f t="shared" si="4"/>
        <v>0</v>
      </c>
    </row>
    <row r="35" spans="1:31" x14ac:dyDescent="0.3">
      <c r="A35" s="6">
        <v>24</v>
      </c>
      <c r="B35" s="54">
        <v>10</v>
      </c>
      <c r="C35" s="53" t="s">
        <v>80</v>
      </c>
      <c r="D35" s="4"/>
      <c r="E35" s="4"/>
      <c r="F35" s="4"/>
      <c r="G35" s="4"/>
      <c r="H35" s="59"/>
      <c r="I35" s="4"/>
      <c r="J35" s="4"/>
      <c r="K35" s="4"/>
      <c r="L35" s="4"/>
      <c r="M35" s="4"/>
      <c r="N35" s="59"/>
      <c r="O35" s="4"/>
      <c r="P35" s="4"/>
      <c r="Q35" s="4"/>
      <c r="R35" s="4"/>
      <c r="S35" s="59"/>
      <c r="T35" s="4"/>
      <c r="U35" s="4"/>
      <c r="V35" s="4"/>
      <c r="W35" s="4"/>
      <c r="X35" s="4"/>
      <c r="Y35" s="59"/>
      <c r="Z35" s="1"/>
      <c r="AA35" s="25">
        <f t="shared" si="0"/>
        <v>0</v>
      </c>
      <c r="AB35" s="4">
        <f t="shared" si="1"/>
        <v>0</v>
      </c>
      <c r="AC35" s="4">
        <f t="shared" si="2"/>
        <v>0</v>
      </c>
      <c r="AD35" s="4">
        <f t="shared" si="3"/>
        <v>0</v>
      </c>
      <c r="AE35" s="10">
        <f t="shared" si="4"/>
        <v>0</v>
      </c>
    </row>
    <row r="36" spans="1:31" x14ac:dyDescent="0.3">
      <c r="A36" s="6">
        <v>25</v>
      </c>
      <c r="B36" s="54">
        <v>10</v>
      </c>
      <c r="C36" s="53" t="s">
        <v>81</v>
      </c>
      <c r="D36" s="4"/>
      <c r="E36" s="4"/>
      <c r="F36" s="4"/>
      <c r="G36" s="4"/>
      <c r="H36" s="59"/>
      <c r="I36" s="4"/>
      <c r="J36" s="4"/>
      <c r="K36" s="4"/>
      <c r="L36" s="4"/>
      <c r="M36" s="4"/>
      <c r="N36" s="59"/>
      <c r="O36" s="4"/>
      <c r="P36" s="4"/>
      <c r="Q36" s="4"/>
      <c r="R36" s="4"/>
      <c r="S36" s="59"/>
      <c r="T36" s="4"/>
      <c r="U36" s="4"/>
      <c r="V36" s="4"/>
      <c r="W36" s="4"/>
      <c r="X36" s="4"/>
      <c r="Y36" s="59"/>
      <c r="Z36" s="1"/>
      <c r="AA36" s="25">
        <f t="shared" si="0"/>
        <v>0</v>
      </c>
      <c r="AB36" s="4">
        <f t="shared" si="1"/>
        <v>0</v>
      </c>
      <c r="AC36" s="4">
        <f t="shared" si="2"/>
        <v>0</v>
      </c>
      <c r="AD36" s="4">
        <f t="shared" si="3"/>
        <v>0</v>
      </c>
      <c r="AE36" s="10">
        <f t="shared" si="4"/>
        <v>0</v>
      </c>
    </row>
    <row r="37" spans="1:31" x14ac:dyDescent="0.3">
      <c r="A37" s="6">
        <v>26</v>
      </c>
      <c r="B37" s="54">
        <v>10</v>
      </c>
      <c r="C37" s="53" t="s">
        <v>82</v>
      </c>
      <c r="D37" s="4"/>
      <c r="E37" s="4"/>
      <c r="F37" s="4"/>
      <c r="G37" s="4"/>
      <c r="H37" s="59"/>
      <c r="I37" s="4"/>
      <c r="J37" s="4"/>
      <c r="K37" s="4"/>
      <c r="L37" s="4"/>
      <c r="M37" s="4"/>
      <c r="N37" s="59"/>
      <c r="O37" s="4"/>
      <c r="P37" s="4"/>
      <c r="Q37" s="4"/>
      <c r="R37" s="4"/>
      <c r="S37" s="59"/>
      <c r="T37" s="4"/>
      <c r="U37" s="4"/>
      <c r="V37" s="4"/>
      <c r="W37" s="4"/>
      <c r="X37" s="4"/>
      <c r="Y37" s="59"/>
      <c r="Z37" s="1"/>
      <c r="AA37" s="25">
        <f t="shared" ref="AA37:AA39" si="5">COUNTIF(D37:Y37,1)</f>
        <v>0</v>
      </c>
      <c r="AB37" s="4">
        <f t="shared" ref="AB37:AB39" si="6">COUNTIF(D37:Y37,0)</f>
        <v>0</v>
      </c>
      <c r="AC37" s="4">
        <f t="shared" ref="AC37:AC39" si="7">COUNTIF(D37:Y37,"T")</f>
        <v>0</v>
      </c>
      <c r="AD37" s="4">
        <f t="shared" ref="AD37:AD39" si="8">COUNTIF(D37:Y37,"J")</f>
        <v>0</v>
      </c>
      <c r="AE37" s="10">
        <f t="shared" ref="AE37:AE39" si="9">SUM(AA37+AC37)/19</f>
        <v>0</v>
      </c>
    </row>
    <row r="38" spans="1:31" x14ac:dyDescent="0.3">
      <c r="A38" s="6">
        <v>27</v>
      </c>
      <c r="B38" s="54">
        <v>10</v>
      </c>
      <c r="C38" s="53" t="s">
        <v>83</v>
      </c>
      <c r="D38" s="4"/>
      <c r="E38" s="4"/>
      <c r="F38" s="4"/>
      <c r="G38" s="4"/>
      <c r="H38" s="59"/>
      <c r="I38" s="4"/>
      <c r="J38" s="4"/>
      <c r="K38" s="4"/>
      <c r="L38" s="4"/>
      <c r="M38" s="4"/>
      <c r="N38" s="59"/>
      <c r="O38" s="4"/>
      <c r="P38" s="4"/>
      <c r="Q38" s="4"/>
      <c r="R38" s="4"/>
      <c r="S38" s="59"/>
      <c r="T38" s="4"/>
      <c r="U38" s="4"/>
      <c r="V38" s="4"/>
      <c r="W38" s="4"/>
      <c r="X38" s="4"/>
      <c r="Y38" s="59"/>
      <c r="Z38" s="1"/>
      <c r="AA38" s="25">
        <f t="shared" si="5"/>
        <v>0</v>
      </c>
      <c r="AB38" s="4">
        <f t="shared" si="6"/>
        <v>0</v>
      </c>
      <c r="AC38" s="4">
        <f t="shared" si="7"/>
        <v>0</v>
      </c>
      <c r="AD38" s="4">
        <f t="shared" si="8"/>
        <v>0</v>
      </c>
      <c r="AE38" s="10">
        <f t="shared" si="9"/>
        <v>0</v>
      </c>
    </row>
    <row r="39" spans="1:31" x14ac:dyDescent="0.3">
      <c r="A39" s="6">
        <v>28</v>
      </c>
      <c r="B39" s="54">
        <v>11</v>
      </c>
      <c r="C39" s="53" t="s">
        <v>84</v>
      </c>
      <c r="D39" s="4"/>
      <c r="E39" s="4"/>
      <c r="F39" s="4"/>
      <c r="G39" s="4"/>
      <c r="H39" s="59"/>
      <c r="I39" s="4"/>
      <c r="J39" s="4"/>
      <c r="K39" s="4"/>
      <c r="L39" s="4"/>
      <c r="M39" s="4"/>
      <c r="N39" s="59"/>
      <c r="O39" s="4"/>
      <c r="P39" s="4"/>
      <c r="Q39" s="4"/>
      <c r="R39" s="4"/>
      <c r="S39" s="59"/>
      <c r="T39" s="4"/>
      <c r="U39" s="4"/>
      <c r="V39" s="4"/>
      <c r="W39" s="4"/>
      <c r="X39" s="4"/>
      <c r="Y39" s="59"/>
      <c r="Z39" s="1"/>
      <c r="AA39" s="25">
        <f t="shared" si="5"/>
        <v>0</v>
      </c>
      <c r="AB39" s="4">
        <f t="shared" si="6"/>
        <v>0</v>
      </c>
      <c r="AC39" s="4">
        <f t="shared" si="7"/>
        <v>0</v>
      </c>
      <c r="AD39" s="4">
        <f t="shared" si="8"/>
        <v>0</v>
      </c>
      <c r="AE39" s="10">
        <f t="shared" si="9"/>
        <v>0</v>
      </c>
    </row>
  </sheetData>
  <mergeCells count="25">
    <mergeCell ref="AD1:AE7"/>
    <mergeCell ref="A8:AE8"/>
    <mergeCell ref="Y9:AE9"/>
    <mergeCell ref="C1:AC1"/>
    <mergeCell ref="A1:B7"/>
    <mergeCell ref="A9:B9"/>
    <mergeCell ref="C9:G9"/>
    <mergeCell ref="H9:J9"/>
    <mergeCell ref="K9:S9"/>
    <mergeCell ref="C2:Z6"/>
    <mergeCell ref="AA2:AC3"/>
    <mergeCell ref="AA4:AC5"/>
    <mergeCell ref="AA6:AC7"/>
    <mergeCell ref="C7:Z7"/>
    <mergeCell ref="AC10:AE10"/>
    <mergeCell ref="A10:B10"/>
    <mergeCell ref="C10:J10"/>
    <mergeCell ref="K10:S10"/>
    <mergeCell ref="T10:Z10"/>
    <mergeCell ref="AA10:AB10"/>
    <mergeCell ref="AH11:AO11"/>
    <mergeCell ref="H11:H39"/>
    <mergeCell ref="N11:N39"/>
    <mergeCell ref="S11:S39"/>
    <mergeCell ref="Y11:Y39"/>
  </mergeCells>
  <conditionalFormatting sqref="G17">
    <cfRule type="cellIs" dxfId="14" priority="2" operator="equal">
      <formula>"T, t"</formula>
    </cfRule>
  </conditionalFormatting>
  <conditionalFormatting sqref="H11 I12:M23 O12:R23 T12:X23 E13:G23">
    <cfRule type="cellIs" dxfId="13" priority="3" operator="equal">
      <formula>"T"</formula>
    </cfRule>
  </conditionalFormatting>
  <conditionalFormatting sqref="H11 N11 S11 Y11 D12:G39 I12:M39 O12:R39 T12:X39 Z12:Z39">
    <cfRule type="cellIs" dxfId="12" priority="1" stopIfTrue="1" operator="equal">
      <formula>"T"</formula>
    </cfRule>
  </conditionalFormatting>
  <conditionalFormatting sqref="I16:J23">
    <cfRule type="cellIs" dxfId="11" priority="4" stopIfTrue="1" operator="equal">
      <formula>"J"</formula>
    </cfRule>
  </conditionalFormatting>
  <conditionalFormatting sqref="I12:M39 H11 N11 S11 Y11 D12:G39 O12:R39 T12:X39 Z12:Z39">
    <cfRule type="cellIs" dxfId="10" priority="9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CFE0E3F-E961-4EF1-8397-A7FE4065DF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H11 N11 S11 Y11 D12:G39 I12:M39 O12:R39 T12:X39 Z12:Z39</xm:sqref>
        </x14:conditionalFormatting>
        <x14:conditionalFormatting xmlns:xm="http://schemas.microsoft.com/office/excel/2006/main">
          <x14:cfRule type="iconSet" priority="6" id="{352B6B17-2F3B-4A12-B2DB-7F83CB6FF1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I15:K23 E13:E15 D40:Z63 D24:G39 I24:M39 O24:R39 T24:X39</xm:sqref>
        </x14:conditionalFormatting>
        <x14:conditionalFormatting xmlns:xm="http://schemas.microsoft.com/office/excel/2006/main">
          <x14:cfRule type="iconSet" priority="7" id="{305A1659-EBB8-4062-821A-73FA8DE344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T12:X12 I12:M12 E16:G23 E13:G13 E14:E15 G15 H11 I13:K23 O12:R12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7714-24B9-4DFA-9C5E-3204EBD01D62}">
  <sheetPr codeName="Hoja9"/>
  <dimension ref="A1:AR39"/>
  <sheetViews>
    <sheetView zoomScale="90" zoomScaleNormal="90" workbookViewId="0">
      <selection activeCell="AK12" sqref="AK12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7" width="3" customWidth="1"/>
    <col min="8" max="8" width="3.88671875" customWidth="1"/>
    <col min="9" max="12" width="3.21875" bestFit="1" customWidth="1"/>
    <col min="13" max="28" width="3.21875" customWidth="1"/>
    <col min="29" max="29" width="3" customWidth="1"/>
    <col min="30" max="30" width="11.77734375" customWidth="1"/>
    <col min="31" max="31" width="7.33203125" bestFit="1" customWidth="1"/>
    <col min="32" max="32" width="7" bestFit="1" customWidth="1"/>
    <col min="33" max="33" width="14.77734375" bestFit="1" customWidth="1"/>
    <col min="34" max="34" width="13.77734375" bestFit="1" customWidth="1"/>
  </cols>
  <sheetData>
    <row r="1" spans="1:44" x14ac:dyDescent="0.3">
      <c r="A1" s="58"/>
      <c r="B1" s="70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78"/>
      <c r="AF1" s="78"/>
      <c r="AG1" s="78"/>
      <c r="AH1" s="78"/>
    </row>
    <row r="2" spans="1:44" x14ac:dyDescent="0.3">
      <c r="A2" s="59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71"/>
      <c r="AE2" s="80"/>
      <c r="AF2" s="78"/>
      <c r="AG2" s="78"/>
      <c r="AH2" s="78"/>
    </row>
    <row r="3" spans="1:44" x14ac:dyDescent="0.3">
      <c r="A3" s="59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71"/>
      <c r="AE3" s="80"/>
      <c r="AF3" s="78"/>
      <c r="AG3" s="78"/>
      <c r="AH3" s="78"/>
    </row>
    <row r="4" spans="1:44" ht="14.55" customHeight="1" x14ac:dyDescent="0.3">
      <c r="A4" s="59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72"/>
      <c r="AE4" s="80"/>
      <c r="AF4" s="78"/>
      <c r="AG4" s="78"/>
      <c r="AH4" s="78"/>
    </row>
    <row r="5" spans="1:44" x14ac:dyDescent="0.3">
      <c r="A5" s="59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72"/>
      <c r="AE5" s="80"/>
      <c r="AF5" s="78"/>
      <c r="AG5" s="78"/>
      <c r="AH5" s="78"/>
    </row>
    <row r="6" spans="1:44" ht="14.55" customHeight="1" x14ac:dyDescent="0.3">
      <c r="A6" s="59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72"/>
      <c r="AE6" s="80"/>
      <c r="AF6" s="78"/>
      <c r="AG6" s="78"/>
      <c r="AH6" s="78"/>
    </row>
    <row r="7" spans="1:44" x14ac:dyDescent="0.3">
      <c r="A7" s="59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72"/>
      <c r="AE7" s="80"/>
      <c r="AF7" s="78"/>
      <c r="AG7" s="78"/>
      <c r="AH7" s="78"/>
    </row>
    <row r="8" spans="1:44" x14ac:dyDescent="0.3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78"/>
      <c r="AF8" s="78"/>
      <c r="AG8" s="78"/>
      <c r="AH8" s="78"/>
    </row>
    <row r="9" spans="1:44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3"/>
      <c r="Z9" s="63"/>
      <c r="AA9" s="63"/>
      <c r="AB9" s="63"/>
      <c r="AC9" s="63"/>
      <c r="AD9" s="63"/>
      <c r="AE9" s="80"/>
      <c r="AF9" s="78"/>
      <c r="AG9" s="78"/>
      <c r="AH9" s="78"/>
    </row>
    <row r="10" spans="1:44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3"/>
      <c r="AD10" s="63"/>
      <c r="AE10" s="81"/>
      <c r="AF10" s="82"/>
      <c r="AG10" s="82"/>
      <c r="AH10" s="82"/>
    </row>
    <row r="11" spans="1:44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1">
        <v>3</v>
      </c>
      <c r="G11" s="1">
        <v>4</v>
      </c>
      <c r="H11" s="58"/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58"/>
      <c r="O11" s="1">
        <v>14</v>
      </c>
      <c r="P11" s="1">
        <v>15</v>
      </c>
      <c r="Q11" s="1">
        <v>16</v>
      </c>
      <c r="R11" s="1">
        <v>17</v>
      </c>
      <c r="S11" s="1">
        <v>18</v>
      </c>
      <c r="T11" s="58"/>
      <c r="U11" s="1">
        <v>21</v>
      </c>
      <c r="V11" s="1">
        <v>22</v>
      </c>
      <c r="W11" s="1">
        <v>23</v>
      </c>
      <c r="X11" s="1">
        <v>24</v>
      </c>
      <c r="Y11" s="1">
        <v>25</v>
      </c>
      <c r="Z11" s="58"/>
      <c r="AA11" s="1">
        <v>28</v>
      </c>
      <c r="AB11" s="1">
        <v>29</v>
      </c>
      <c r="AC11" s="1">
        <v>30</v>
      </c>
      <c r="AD11" s="1" t="s">
        <v>1</v>
      </c>
      <c r="AE11" s="1" t="s">
        <v>2</v>
      </c>
      <c r="AF11" s="1" t="s">
        <v>3</v>
      </c>
      <c r="AG11" s="1" t="s">
        <v>4</v>
      </c>
      <c r="AH11" s="1" t="s">
        <v>5</v>
      </c>
      <c r="AK11" s="55" t="s">
        <v>9</v>
      </c>
      <c r="AL11" s="56"/>
      <c r="AM11" s="56"/>
      <c r="AN11" s="56"/>
      <c r="AO11" s="56"/>
      <c r="AP11" s="56"/>
      <c r="AQ11" s="56"/>
      <c r="AR11" s="57"/>
    </row>
    <row r="12" spans="1:44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1"/>
      <c r="G12" s="1"/>
      <c r="H12" s="59"/>
      <c r="I12" s="1"/>
      <c r="J12" s="1"/>
      <c r="K12" s="1"/>
      <c r="L12" s="1"/>
      <c r="M12" s="1"/>
      <c r="N12" s="59"/>
      <c r="O12" s="1"/>
      <c r="P12" s="1"/>
      <c r="Q12" s="1"/>
      <c r="R12" s="1"/>
      <c r="S12" s="1"/>
      <c r="T12" s="59"/>
      <c r="U12" s="1"/>
      <c r="V12" s="1"/>
      <c r="W12" s="1"/>
      <c r="X12" s="1"/>
      <c r="Y12" s="1"/>
      <c r="Z12" s="59"/>
      <c r="AA12" s="1"/>
      <c r="AB12" s="1"/>
      <c r="AC12" s="1"/>
      <c r="AD12" s="4">
        <f t="shared" ref="AD12:AD36" si="0">COUNTIF(D12:AB12,1)</f>
        <v>0</v>
      </c>
      <c r="AE12" s="4">
        <f t="shared" ref="AE12:AE36" si="1">COUNTIF(D12:AB12,0)</f>
        <v>0</v>
      </c>
      <c r="AF12" s="4">
        <f t="shared" ref="AF12:AF36" si="2">COUNTIF(D12:AB12,"T")</f>
        <v>0</v>
      </c>
      <c r="AG12" s="4">
        <f t="shared" ref="AG12:AG36" si="3">COUNTIF(D12:AB12,"J")</f>
        <v>0</v>
      </c>
      <c r="AH12" s="10">
        <f>SUM(AD12+AF12)/22</f>
        <v>0</v>
      </c>
      <c r="AK12" s="17"/>
      <c r="AL12" s="14">
        <v>1</v>
      </c>
      <c r="AM12" s="3" t="s">
        <v>10</v>
      </c>
      <c r="AN12" s="8"/>
      <c r="AO12" s="8"/>
      <c r="AR12" s="18"/>
    </row>
    <row r="13" spans="1:44" s="3" customFormat="1" x14ac:dyDescent="0.3">
      <c r="A13" s="6">
        <v>2</v>
      </c>
      <c r="B13" s="47">
        <v>6</v>
      </c>
      <c r="C13" s="53" t="s">
        <v>58</v>
      </c>
      <c r="D13" s="1"/>
      <c r="E13" s="4"/>
      <c r="F13" s="1"/>
      <c r="G13" s="1"/>
      <c r="H13" s="59"/>
      <c r="I13" s="1"/>
      <c r="J13" s="1"/>
      <c r="K13" s="1"/>
      <c r="L13" s="1"/>
      <c r="M13" s="1"/>
      <c r="N13" s="59"/>
      <c r="O13" s="1"/>
      <c r="P13" s="1"/>
      <c r="Q13" s="1"/>
      <c r="R13" s="1"/>
      <c r="S13" s="1"/>
      <c r="T13" s="59"/>
      <c r="U13" s="1"/>
      <c r="V13" s="1"/>
      <c r="W13" s="1"/>
      <c r="X13" s="1"/>
      <c r="Y13" s="1"/>
      <c r="Z13" s="59"/>
      <c r="AA13" s="1"/>
      <c r="AB13" s="1"/>
      <c r="AC13" s="1"/>
      <c r="AD13" s="4">
        <f t="shared" si="0"/>
        <v>0</v>
      </c>
      <c r="AE13" s="4">
        <f t="shared" si="1"/>
        <v>0</v>
      </c>
      <c r="AF13" s="4">
        <f t="shared" si="2"/>
        <v>0</v>
      </c>
      <c r="AG13" s="4">
        <f t="shared" si="3"/>
        <v>0</v>
      </c>
      <c r="AH13" s="10">
        <f t="shared" ref="AH13:AH36" si="4">SUM(AD13+AF13)/22</f>
        <v>0</v>
      </c>
      <c r="AK13" s="17"/>
      <c r="AL13" s="15">
        <v>0</v>
      </c>
      <c r="AM13" s="3" t="s">
        <v>14</v>
      </c>
      <c r="AR13" s="18"/>
    </row>
    <row r="14" spans="1:44" s="3" customFormat="1" x14ac:dyDescent="0.3">
      <c r="A14" s="6">
        <v>3</v>
      </c>
      <c r="B14" s="47">
        <v>6</v>
      </c>
      <c r="C14" s="53" t="s">
        <v>59</v>
      </c>
      <c r="D14" s="1"/>
      <c r="E14" s="4"/>
      <c r="F14" s="4"/>
      <c r="G14" s="4"/>
      <c r="H14" s="59"/>
      <c r="I14" s="1"/>
      <c r="J14" s="1"/>
      <c r="K14" s="1"/>
      <c r="L14" s="1"/>
      <c r="M14" s="1"/>
      <c r="N14" s="59"/>
      <c r="O14" s="1"/>
      <c r="P14" s="1"/>
      <c r="Q14" s="1"/>
      <c r="R14" s="1"/>
      <c r="S14" s="1"/>
      <c r="T14" s="59"/>
      <c r="U14" s="1"/>
      <c r="V14" s="1"/>
      <c r="W14" s="1"/>
      <c r="X14" s="1"/>
      <c r="Y14" s="1"/>
      <c r="Z14" s="59"/>
      <c r="AA14" s="1"/>
      <c r="AB14" s="1"/>
      <c r="AC14" s="1"/>
      <c r="AD14" s="4">
        <f t="shared" si="0"/>
        <v>0</v>
      </c>
      <c r="AE14" s="4">
        <f t="shared" si="1"/>
        <v>0</v>
      </c>
      <c r="AF14" s="4">
        <f t="shared" si="2"/>
        <v>0</v>
      </c>
      <c r="AG14" s="4">
        <f t="shared" si="3"/>
        <v>0</v>
      </c>
      <c r="AH14" s="10">
        <f t="shared" si="4"/>
        <v>0</v>
      </c>
      <c r="AK14" s="17"/>
      <c r="AL14" s="16" t="s">
        <v>11</v>
      </c>
      <c r="AM14" s="3" t="s">
        <v>12</v>
      </c>
      <c r="AR14" s="18"/>
    </row>
    <row r="15" spans="1:44" ht="15" thickBot="1" x14ac:dyDescent="0.35">
      <c r="A15" s="6">
        <v>4</v>
      </c>
      <c r="B15" s="47">
        <v>7</v>
      </c>
      <c r="C15" s="53" t="s">
        <v>60</v>
      </c>
      <c r="D15" s="1"/>
      <c r="E15" s="4"/>
      <c r="F15" s="4"/>
      <c r="G15" s="4"/>
      <c r="H15" s="59"/>
      <c r="I15" s="4"/>
      <c r="J15" s="4"/>
      <c r="K15" s="4"/>
      <c r="L15" s="1"/>
      <c r="M15" s="1"/>
      <c r="N15" s="59"/>
      <c r="O15" s="1"/>
      <c r="P15" s="1"/>
      <c r="Q15" s="1"/>
      <c r="R15" s="1"/>
      <c r="S15" s="1"/>
      <c r="T15" s="59"/>
      <c r="U15" s="1"/>
      <c r="V15" s="1"/>
      <c r="W15" s="1"/>
      <c r="X15" s="1"/>
      <c r="Y15" s="1"/>
      <c r="Z15" s="59"/>
      <c r="AA15" s="1"/>
      <c r="AB15" s="1"/>
      <c r="AC15" s="1"/>
      <c r="AD15" s="4">
        <f t="shared" si="0"/>
        <v>0</v>
      </c>
      <c r="AE15" s="4">
        <f t="shared" si="1"/>
        <v>0</v>
      </c>
      <c r="AF15" s="4">
        <f t="shared" si="2"/>
        <v>0</v>
      </c>
      <c r="AG15" s="4">
        <f t="shared" si="3"/>
        <v>0</v>
      </c>
      <c r="AH15" s="10">
        <f t="shared" si="4"/>
        <v>0</v>
      </c>
      <c r="AK15" s="19"/>
      <c r="AL15" s="20" t="s">
        <v>6</v>
      </c>
      <c r="AM15" s="21" t="s">
        <v>13</v>
      </c>
      <c r="AN15" s="22"/>
      <c r="AO15" s="22"/>
      <c r="AP15" s="22"/>
      <c r="AQ15" s="22"/>
      <c r="AR15" s="23"/>
    </row>
    <row r="16" spans="1:44" x14ac:dyDescent="0.3">
      <c r="A16" s="6">
        <v>5</v>
      </c>
      <c r="B16" s="47">
        <v>7</v>
      </c>
      <c r="C16" s="53" t="s">
        <v>61</v>
      </c>
      <c r="D16" s="1"/>
      <c r="E16" s="1"/>
      <c r="F16" s="4"/>
      <c r="G16" s="4"/>
      <c r="H16" s="59"/>
      <c r="I16" s="4"/>
      <c r="J16" s="4"/>
      <c r="K16" s="4"/>
      <c r="L16" s="1"/>
      <c r="M16" s="1"/>
      <c r="N16" s="59"/>
      <c r="O16" s="1"/>
      <c r="P16" s="1"/>
      <c r="Q16" s="1"/>
      <c r="R16" s="1"/>
      <c r="S16" s="1"/>
      <c r="T16" s="59"/>
      <c r="U16" s="1"/>
      <c r="V16" s="1"/>
      <c r="W16" s="1"/>
      <c r="X16" s="1"/>
      <c r="Y16" s="1"/>
      <c r="Z16" s="59"/>
      <c r="AA16" s="1"/>
      <c r="AB16" s="1"/>
      <c r="AC16" s="1"/>
      <c r="AD16" s="4">
        <f t="shared" si="0"/>
        <v>0</v>
      </c>
      <c r="AE16" s="4">
        <f t="shared" si="1"/>
        <v>0</v>
      </c>
      <c r="AF16" s="4">
        <f t="shared" si="2"/>
        <v>0</v>
      </c>
      <c r="AG16" s="4">
        <f t="shared" si="3"/>
        <v>0</v>
      </c>
      <c r="AH16" s="10">
        <f t="shared" si="4"/>
        <v>0</v>
      </c>
      <c r="AL16" t="s">
        <v>50</v>
      </c>
      <c r="AM16" s="3" t="s">
        <v>51</v>
      </c>
    </row>
    <row r="17" spans="1:42" x14ac:dyDescent="0.3">
      <c r="A17" s="6">
        <v>6</v>
      </c>
      <c r="B17" s="47">
        <v>7</v>
      </c>
      <c r="C17" s="53" t="s">
        <v>62</v>
      </c>
      <c r="D17" s="1"/>
      <c r="E17" s="1"/>
      <c r="F17" s="4"/>
      <c r="G17" s="4"/>
      <c r="H17" s="59"/>
      <c r="I17" s="4"/>
      <c r="J17" s="4"/>
      <c r="K17" s="4"/>
      <c r="L17" s="1"/>
      <c r="M17" s="1"/>
      <c r="N17" s="59"/>
      <c r="O17" s="1"/>
      <c r="P17" s="1"/>
      <c r="Q17" s="1"/>
      <c r="R17" s="1"/>
      <c r="S17" s="1"/>
      <c r="T17" s="59"/>
      <c r="U17" s="1"/>
      <c r="V17" s="1"/>
      <c r="W17" s="1"/>
      <c r="X17" s="1"/>
      <c r="Y17" s="1"/>
      <c r="Z17" s="59"/>
      <c r="AA17" s="1"/>
      <c r="AB17" s="1"/>
      <c r="AC17" s="1"/>
      <c r="AD17" s="4">
        <f t="shared" si="0"/>
        <v>0</v>
      </c>
      <c r="AE17" s="4">
        <f t="shared" si="1"/>
        <v>0</v>
      </c>
      <c r="AF17" s="4">
        <f t="shared" si="2"/>
        <v>0</v>
      </c>
      <c r="AG17" s="4">
        <f t="shared" si="3"/>
        <v>0</v>
      </c>
      <c r="AH17" s="10">
        <f t="shared" si="4"/>
        <v>0</v>
      </c>
    </row>
    <row r="18" spans="1:42" x14ac:dyDescent="0.3">
      <c r="A18" s="6">
        <v>7</v>
      </c>
      <c r="B18" s="47">
        <v>7</v>
      </c>
      <c r="C18" s="53" t="s">
        <v>63</v>
      </c>
      <c r="D18" s="1"/>
      <c r="E18" s="1"/>
      <c r="F18" s="4"/>
      <c r="G18" s="4"/>
      <c r="H18" s="59"/>
      <c r="I18" s="4"/>
      <c r="J18" s="4"/>
      <c r="K18" s="4"/>
      <c r="L18" s="1"/>
      <c r="M18" s="1"/>
      <c r="N18" s="59"/>
      <c r="O18" s="1"/>
      <c r="P18" s="1"/>
      <c r="Q18" s="1"/>
      <c r="R18" s="1"/>
      <c r="S18" s="1"/>
      <c r="T18" s="59"/>
      <c r="U18" s="1"/>
      <c r="V18" s="1"/>
      <c r="W18" s="1"/>
      <c r="X18" s="1"/>
      <c r="Y18" s="1"/>
      <c r="Z18" s="59"/>
      <c r="AA18" s="1"/>
      <c r="AB18" s="1"/>
      <c r="AC18" s="1"/>
      <c r="AD18" s="4">
        <f t="shared" si="0"/>
        <v>0</v>
      </c>
      <c r="AE18" s="4">
        <f t="shared" si="1"/>
        <v>0</v>
      </c>
      <c r="AF18" s="4">
        <f t="shared" si="2"/>
        <v>0</v>
      </c>
      <c r="AG18" s="4">
        <f t="shared" si="3"/>
        <v>0</v>
      </c>
      <c r="AH18" s="10">
        <f t="shared" si="4"/>
        <v>0</v>
      </c>
      <c r="AM18" s="8"/>
      <c r="AO18" s="3"/>
      <c r="AP18" s="3"/>
    </row>
    <row r="19" spans="1:42" x14ac:dyDescent="0.3">
      <c r="A19" s="6">
        <v>8</v>
      </c>
      <c r="B19" s="47">
        <v>7</v>
      </c>
      <c r="C19" s="53" t="s">
        <v>64</v>
      </c>
      <c r="D19" s="1"/>
      <c r="E19" s="1"/>
      <c r="F19" s="4"/>
      <c r="G19" s="4"/>
      <c r="H19" s="59"/>
      <c r="I19" s="4"/>
      <c r="J19" s="4"/>
      <c r="K19" s="4"/>
      <c r="L19" s="1"/>
      <c r="M19" s="1"/>
      <c r="N19" s="59"/>
      <c r="O19" s="1"/>
      <c r="P19" s="1"/>
      <c r="Q19" s="1"/>
      <c r="R19" s="1"/>
      <c r="S19" s="1"/>
      <c r="T19" s="59"/>
      <c r="U19" s="1"/>
      <c r="V19" s="1"/>
      <c r="W19" s="1"/>
      <c r="X19" s="1"/>
      <c r="Y19" s="1"/>
      <c r="Z19" s="59"/>
      <c r="AA19" s="1"/>
      <c r="AB19" s="1"/>
      <c r="AC19" s="1"/>
      <c r="AD19" s="4">
        <f t="shared" si="0"/>
        <v>0</v>
      </c>
      <c r="AE19" s="4">
        <f t="shared" si="1"/>
        <v>0</v>
      </c>
      <c r="AF19" s="4">
        <f t="shared" si="2"/>
        <v>0</v>
      </c>
      <c r="AG19" s="4">
        <f t="shared" si="3"/>
        <v>0</v>
      </c>
      <c r="AH19" s="10">
        <f t="shared" si="4"/>
        <v>0</v>
      </c>
      <c r="AM19" s="8"/>
    </row>
    <row r="20" spans="1:42" x14ac:dyDescent="0.3">
      <c r="A20" s="6">
        <v>9</v>
      </c>
      <c r="B20" s="47">
        <v>7</v>
      </c>
      <c r="C20" s="53" t="s">
        <v>65</v>
      </c>
      <c r="D20" s="1"/>
      <c r="E20" s="1"/>
      <c r="F20" s="4"/>
      <c r="G20" s="4"/>
      <c r="H20" s="59"/>
      <c r="I20" s="4"/>
      <c r="J20" s="4"/>
      <c r="K20" s="4"/>
      <c r="L20" s="1"/>
      <c r="M20" s="1"/>
      <c r="N20" s="59"/>
      <c r="O20" s="1"/>
      <c r="P20" s="1"/>
      <c r="Q20" s="1"/>
      <c r="R20" s="1"/>
      <c r="S20" s="1"/>
      <c r="T20" s="59"/>
      <c r="U20" s="1"/>
      <c r="V20" s="1"/>
      <c r="W20" s="1"/>
      <c r="X20" s="1"/>
      <c r="Y20" s="1"/>
      <c r="Z20" s="59"/>
      <c r="AA20" s="1"/>
      <c r="AB20" s="1"/>
      <c r="AC20" s="1"/>
      <c r="AD20" s="4">
        <f t="shared" si="0"/>
        <v>0</v>
      </c>
      <c r="AE20" s="4">
        <f t="shared" si="1"/>
        <v>0</v>
      </c>
      <c r="AF20" s="4">
        <f t="shared" si="2"/>
        <v>0</v>
      </c>
      <c r="AG20" s="4">
        <f t="shared" si="3"/>
        <v>0</v>
      </c>
      <c r="AH20" s="10">
        <f t="shared" si="4"/>
        <v>0</v>
      </c>
      <c r="AM20" s="8"/>
      <c r="AN20" s="3"/>
      <c r="AO20" s="3"/>
      <c r="AP20" s="3"/>
    </row>
    <row r="21" spans="1:42" x14ac:dyDescent="0.3">
      <c r="A21" s="6">
        <v>10</v>
      </c>
      <c r="B21" s="47">
        <v>7</v>
      </c>
      <c r="C21" s="53" t="s">
        <v>66</v>
      </c>
      <c r="D21" s="1"/>
      <c r="E21" s="1"/>
      <c r="F21" s="4"/>
      <c r="G21" s="4"/>
      <c r="H21" s="59"/>
      <c r="I21" s="4"/>
      <c r="J21" s="4"/>
      <c r="K21" s="4"/>
      <c r="L21" s="1"/>
      <c r="M21" s="1"/>
      <c r="N21" s="59"/>
      <c r="O21" s="1"/>
      <c r="P21" s="1"/>
      <c r="Q21" s="1"/>
      <c r="R21" s="1"/>
      <c r="S21" s="1"/>
      <c r="T21" s="59"/>
      <c r="U21" s="1"/>
      <c r="V21" s="1"/>
      <c r="W21" s="1"/>
      <c r="X21" s="1"/>
      <c r="Y21" s="1"/>
      <c r="Z21" s="59"/>
      <c r="AA21" s="1"/>
      <c r="AB21" s="1"/>
      <c r="AC21" s="1"/>
      <c r="AD21" s="4">
        <f t="shared" si="0"/>
        <v>0</v>
      </c>
      <c r="AE21" s="4">
        <f t="shared" si="1"/>
        <v>0</v>
      </c>
      <c r="AF21" s="4">
        <f t="shared" si="2"/>
        <v>0</v>
      </c>
      <c r="AG21" s="4">
        <f t="shared" si="3"/>
        <v>0</v>
      </c>
      <c r="AH21" s="10">
        <f t="shared" si="4"/>
        <v>0</v>
      </c>
      <c r="AM21" s="7"/>
    </row>
    <row r="22" spans="1:42" x14ac:dyDescent="0.3">
      <c r="A22" s="6">
        <v>11</v>
      </c>
      <c r="B22" s="47">
        <v>8</v>
      </c>
      <c r="C22" s="53" t="s">
        <v>67</v>
      </c>
      <c r="D22" s="1"/>
      <c r="E22" s="1"/>
      <c r="F22" s="4"/>
      <c r="G22" s="4"/>
      <c r="H22" s="59"/>
      <c r="I22" s="4"/>
      <c r="J22" s="4"/>
      <c r="K22" s="4"/>
      <c r="L22" s="1"/>
      <c r="M22" s="1"/>
      <c r="N22" s="59"/>
      <c r="O22" s="1"/>
      <c r="P22" s="1"/>
      <c r="Q22" s="1"/>
      <c r="R22" s="1"/>
      <c r="S22" s="1"/>
      <c r="T22" s="59"/>
      <c r="U22" s="1"/>
      <c r="V22" s="1"/>
      <c r="W22" s="1"/>
      <c r="X22" s="1"/>
      <c r="Y22" s="1"/>
      <c r="Z22" s="59"/>
      <c r="AA22" s="1"/>
      <c r="AB22" s="1"/>
      <c r="AC22" s="1"/>
      <c r="AD22" s="4">
        <f t="shared" si="0"/>
        <v>0</v>
      </c>
      <c r="AE22" s="4">
        <f t="shared" si="1"/>
        <v>0</v>
      </c>
      <c r="AF22" s="4">
        <f t="shared" si="2"/>
        <v>0</v>
      </c>
      <c r="AG22" s="4">
        <f t="shared" si="3"/>
        <v>0</v>
      </c>
      <c r="AH22" s="10">
        <f t="shared" si="4"/>
        <v>0</v>
      </c>
    </row>
    <row r="23" spans="1:42" x14ac:dyDescent="0.3">
      <c r="A23" s="6">
        <v>12</v>
      </c>
      <c r="B23" s="47">
        <v>8</v>
      </c>
      <c r="C23" s="53" t="s">
        <v>68</v>
      </c>
      <c r="D23" s="1"/>
      <c r="E23" s="1"/>
      <c r="F23" s="4"/>
      <c r="G23" s="4"/>
      <c r="H23" s="59"/>
      <c r="I23" s="4"/>
      <c r="J23" s="4"/>
      <c r="K23" s="4"/>
      <c r="L23" s="1"/>
      <c r="M23" s="1"/>
      <c r="N23" s="59"/>
      <c r="O23" s="1"/>
      <c r="P23" s="1"/>
      <c r="Q23" s="1"/>
      <c r="R23" s="1"/>
      <c r="S23" s="1"/>
      <c r="T23" s="59"/>
      <c r="U23" s="1"/>
      <c r="V23" s="1"/>
      <c r="W23" s="1"/>
      <c r="X23" s="1"/>
      <c r="Y23" s="1"/>
      <c r="Z23" s="59"/>
      <c r="AA23" s="1"/>
      <c r="AB23" s="1"/>
      <c r="AC23" s="1"/>
      <c r="AD23" s="4">
        <f t="shared" si="0"/>
        <v>0</v>
      </c>
      <c r="AE23" s="4">
        <f t="shared" si="1"/>
        <v>0</v>
      </c>
      <c r="AF23" s="4">
        <f t="shared" si="2"/>
        <v>0</v>
      </c>
      <c r="AG23" s="4">
        <f t="shared" si="3"/>
        <v>0</v>
      </c>
      <c r="AH23" s="10">
        <f t="shared" si="4"/>
        <v>0</v>
      </c>
    </row>
    <row r="24" spans="1:42" x14ac:dyDescent="0.3">
      <c r="A24" s="6">
        <v>13</v>
      </c>
      <c r="B24" s="47">
        <v>8</v>
      </c>
      <c r="C24" s="53" t="s">
        <v>69</v>
      </c>
      <c r="D24" s="4"/>
      <c r="E24" s="4"/>
      <c r="F24" s="4"/>
      <c r="G24" s="4"/>
      <c r="H24" s="59"/>
      <c r="I24" s="4"/>
      <c r="J24" s="4"/>
      <c r="K24" s="4"/>
      <c r="L24" s="4"/>
      <c r="M24" s="4"/>
      <c r="N24" s="59"/>
      <c r="O24" s="4"/>
      <c r="P24" s="4"/>
      <c r="Q24" s="4"/>
      <c r="R24" s="4"/>
      <c r="S24" s="4"/>
      <c r="T24" s="59"/>
      <c r="U24" s="4"/>
      <c r="V24" s="4"/>
      <c r="W24" s="4"/>
      <c r="X24" s="4"/>
      <c r="Y24" s="4"/>
      <c r="Z24" s="59"/>
      <c r="AA24" s="4"/>
      <c r="AB24" s="4"/>
      <c r="AC24" s="1"/>
      <c r="AD24" s="4">
        <f t="shared" si="0"/>
        <v>0</v>
      </c>
      <c r="AE24" s="4">
        <f t="shared" si="1"/>
        <v>0</v>
      </c>
      <c r="AF24" s="4">
        <f t="shared" si="2"/>
        <v>0</v>
      </c>
      <c r="AG24" s="4">
        <f t="shared" si="3"/>
        <v>0</v>
      </c>
      <c r="AH24" s="10">
        <f t="shared" si="4"/>
        <v>0</v>
      </c>
    </row>
    <row r="25" spans="1:42" x14ac:dyDescent="0.3">
      <c r="A25" s="6">
        <v>14</v>
      </c>
      <c r="B25" s="47">
        <v>8</v>
      </c>
      <c r="C25" s="53" t="s">
        <v>70</v>
      </c>
      <c r="D25" s="4"/>
      <c r="E25" s="4"/>
      <c r="F25" s="4"/>
      <c r="G25" s="4"/>
      <c r="H25" s="59"/>
      <c r="I25" s="4"/>
      <c r="J25" s="4"/>
      <c r="K25" s="4"/>
      <c r="L25" s="4"/>
      <c r="M25" s="4"/>
      <c r="N25" s="59"/>
      <c r="O25" s="4"/>
      <c r="P25" s="4"/>
      <c r="Q25" s="4"/>
      <c r="R25" s="4"/>
      <c r="S25" s="4"/>
      <c r="T25" s="59"/>
      <c r="U25" s="4"/>
      <c r="V25" s="4"/>
      <c r="W25" s="4"/>
      <c r="X25" s="4"/>
      <c r="Y25" s="4"/>
      <c r="Z25" s="59"/>
      <c r="AA25" s="4"/>
      <c r="AB25" s="4"/>
      <c r="AC25" s="1"/>
      <c r="AD25" s="4">
        <f t="shared" si="0"/>
        <v>0</v>
      </c>
      <c r="AE25" s="4">
        <f t="shared" si="1"/>
        <v>0</v>
      </c>
      <c r="AF25" s="4">
        <f t="shared" si="2"/>
        <v>0</v>
      </c>
      <c r="AG25" s="4">
        <f t="shared" si="3"/>
        <v>0</v>
      </c>
      <c r="AH25" s="10">
        <f t="shared" si="4"/>
        <v>0</v>
      </c>
    </row>
    <row r="26" spans="1:42" x14ac:dyDescent="0.3">
      <c r="A26" s="6">
        <v>15</v>
      </c>
      <c r="B26" s="47">
        <v>8</v>
      </c>
      <c r="C26" s="53" t="s">
        <v>71</v>
      </c>
      <c r="D26" s="4"/>
      <c r="E26" s="4"/>
      <c r="F26" s="4"/>
      <c r="G26" s="4"/>
      <c r="H26" s="59"/>
      <c r="I26" s="4"/>
      <c r="J26" s="4"/>
      <c r="K26" s="4"/>
      <c r="L26" s="4"/>
      <c r="M26" s="4"/>
      <c r="N26" s="59"/>
      <c r="O26" s="4"/>
      <c r="P26" s="4"/>
      <c r="Q26" s="4"/>
      <c r="R26" s="4"/>
      <c r="S26" s="4"/>
      <c r="T26" s="59"/>
      <c r="U26" s="4"/>
      <c r="V26" s="4"/>
      <c r="W26" s="4"/>
      <c r="X26" s="4"/>
      <c r="Y26" s="4"/>
      <c r="Z26" s="59"/>
      <c r="AA26" s="4"/>
      <c r="AB26" s="4"/>
      <c r="AC26" s="1"/>
      <c r="AD26" s="4">
        <f t="shared" si="0"/>
        <v>0</v>
      </c>
      <c r="AE26" s="4">
        <f t="shared" si="1"/>
        <v>0</v>
      </c>
      <c r="AF26" s="4">
        <f t="shared" si="2"/>
        <v>0</v>
      </c>
      <c r="AG26" s="4">
        <f t="shared" si="3"/>
        <v>0</v>
      </c>
      <c r="AH26" s="10">
        <f t="shared" si="4"/>
        <v>0</v>
      </c>
    </row>
    <row r="27" spans="1:42" x14ac:dyDescent="0.3">
      <c r="A27" s="6">
        <v>16</v>
      </c>
      <c r="B27" s="54">
        <v>9</v>
      </c>
      <c r="C27" s="53" t="s">
        <v>72</v>
      </c>
      <c r="D27" s="4"/>
      <c r="E27" s="4"/>
      <c r="F27" s="4"/>
      <c r="G27" s="4"/>
      <c r="H27" s="59"/>
      <c r="I27" s="4"/>
      <c r="J27" s="4"/>
      <c r="K27" s="4"/>
      <c r="L27" s="4"/>
      <c r="M27" s="4"/>
      <c r="N27" s="59"/>
      <c r="O27" s="4"/>
      <c r="P27" s="4"/>
      <c r="Q27" s="4"/>
      <c r="R27" s="4"/>
      <c r="S27" s="4"/>
      <c r="T27" s="59"/>
      <c r="U27" s="4"/>
      <c r="V27" s="4"/>
      <c r="W27" s="4"/>
      <c r="X27" s="4"/>
      <c r="Y27" s="4"/>
      <c r="Z27" s="59"/>
      <c r="AA27" s="4"/>
      <c r="AB27" s="4"/>
      <c r="AC27" s="1"/>
      <c r="AD27" s="4">
        <f t="shared" si="0"/>
        <v>0</v>
      </c>
      <c r="AE27" s="4">
        <f t="shared" si="1"/>
        <v>0</v>
      </c>
      <c r="AF27" s="4">
        <f t="shared" si="2"/>
        <v>0</v>
      </c>
      <c r="AG27" s="4">
        <f t="shared" si="3"/>
        <v>0</v>
      </c>
      <c r="AH27" s="10">
        <f t="shared" si="4"/>
        <v>0</v>
      </c>
    </row>
    <row r="28" spans="1:42" x14ac:dyDescent="0.3">
      <c r="A28" s="6">
        <v>17</v>
      </c>
      <c r="B28" s="54">
        <v>9</v>
      </c>
      <c r="C28" s="53" t="s">
        <v>73</v>
      </c>
      <c r="D28" s="4"/>
      <c r="E28" s="4"/>
      <c r="F28" s="4"/>
      <c r="G28" s="4"/>
      <c r="H28" s="59"/>
      <c r="I28" s="4"/>
      <c r="J28" s="4"/>
      <c r="K28" s="4"/>
      <c r="L28" s="4"/>
      <c r="M28" s="4"/>
      <c r="N28" s="59"/>
      <c r="O28" s="4"/>
      <c r="P28" s="4"/>
      <c r="Q28" s="4"/>
      <c r="R28" s="4"/>
      <c r="S28" s="4"/>
      <c r="T28" s="59"/>
      <c r="U28" s="4"/>
      <c r="V28" s="4"/>
      <c r="W28" s="4"/>
      <c r="X28" s="4"/>
      <c r="Y28" s="4"/>
      <c r="Z28" s="59"/>
      <c r="AA28" s="4"/>
      <c r="AB28" s="4"/>
      <c r="AC28" s="1"/>
      <c r="AD28" s="4">
        <f t="shared" si="0"/>
        <v>0</v>
      </c>
      <c r="AE28" s="4">
        <f t="shared" si="1"/>
        <v>0</v>
      </c>
      <c r="AF28" s="4">
        <f t="shared" si="2"/>
        <v>0</v>
      </c>
      <c r="AG28" s="4">
        <f t="shared" si="3"/>
        <v>0</v>
      </c>
      <c r="AH28" s="10">
        <f t="shared" si="4"/>
        <v>0</v>
      </c>
    </row>
    <row r="29" spans="1:42" x14ac:dyDescent="0.3">
      <c r="A29" s="6">
        <v>18</v>
      </c>
      <c r="B29" s="54">
        <v>9</v>
      </c>
      <c r="C29" s="53" t="s">
        <v>74</v>
      </c>
      <c r="D29" s="4"/>
      <c r="E29" s="4"/>
      <c r="F29" s="4"/>
      <c r="G29" s="4"/>
      <c r="H29" s="59"/>
      <c r="I29" s="4"/>
      <c r="J29" s="4"/>
      <c r="K29" s="4"/>
      <c r="L29" s="4"/>
      <c r="M29" s="4"/>
      <c r="N29" s="59"/>
      <c r="O29" s="4"/>
      <c r="P29" s="4"/>
      <c r="Q29" s="4"/>
      <c r="R29" s="4"/>
      <c r="S29" s="4"/>
      <c r="T29" s="59"/>
      <c r="U29" s="4"/>
      <c r="V29" s="4"/>
      <c r="W29" s="4"/>
      <c r="X29" s="4"/>
      <c r="Y29" s="4"/>
      <c r="Z29" s="59"/>
      <c r="AA29" s="4"/>
      <c r="AB29" s="4"/>
      <c r="AC29" s="1"/>
      <c r="AD29" s="4">
        <f t="shared" si="0"/>
        <v>0</v>
      </c>
      <c r="AE29" s="4">
        <f t="shared" si="1"/>
        <v>0</v>
      </c>
      <c r="AF29" s="4">
        <f t="shared" si="2"/>
        <v>0</v>
      </c>
      <c r="AG29" s="4">
        <f t="shared" si="3"/>
        <v>0</v>
      </c>
      <c r="AH29" s="10">
        <f t="shared" si="4"/>
        <v>0</v>
      </c>
    </row>
    <row r="30" spans="1:42" x14ac:dyDescent="0.3">
      <c r="A30" s="6">
        <v>19</v>
      </c>
      <c r="B30" s="54">
        <v>9</v>
      </c>
      <c r="C30" s="53" t="s">
        <v>75</v>
      </c>
      <c r="D30" s="4"/>
      <c r="E30" s="4"/>
      <c r="F30" s="4"/>
      <c r="G30" s="4"/>
      <c r="H30" s="59"/>
      <c r="I30" s="4"/>
      <c r="J30" s="4"/>
      <c r="K30" s="4"/>
      <c r="L30" s="4"/>
      <c r="M30" s="4"/>
      <c r="N30" s="59"/>
      <c r="O30" s="4"/>
      <c r="P30" s="4"/>
      <c r="Q30" s="4"/>
      <c r="R30" s="4"/>
      <c r="S30" s="4"/>
      <c r="T30" s="59"/>
      <c r="U30" s="4"/>
      <c r="V30" s="4"/>
      <c r="W30" s="4"/>
      <c r="X30" s="4"/>
      <c r="Y30" s="4"/>
      <c r="Z30" s="59"/>
      <c r="AA30" s="4"/>
      <c r="AB30" s="4"/>
      <c r="AC30" s="1"/>
      <c r="AD30" s="4">
        <f t="shared" si="0"/>
        <v>0</v>
      </c>
      <c r="AE30" s="4">
        <f t="shared" si="1"/>
        <v>0</v>
      </c>
      <c r="AF30" s="4">
        <f t="shared" si="2"/>
        <v>0</v>
      </c>
      <c r="AG30" s="4">
        <f t="shared" si="3"/>
        <v>0</v>
      </c>
      <c r="AH30" s="10">
        <f t="shared" si="4"/>
        <v>0</v>
      </c>
    </row>
    <row r="31" spans="1:42" x14ac:dyDescent="0.3">
      <c r="A31" s="6">
        <v>20</v>
      </c>
      <c r="B31" s="54">
        <v>9</v>
      </c>
      <c r="C31" s="53" t="s">
        <v>76</v>
      </c>
      <c r="D31" s="4"/>
      <c r="E31" s="4"/>
      <c r="F31" s="4"/>
      <c r="G31" s="4"/>
      <c r="H31" s="59"/>
      <c r="I31" s="4"/>
      <c r="J31" s="4"/>
      <c r="K31" s="4"/>
      <c r="L31" s="4"/>
      <c r="M31" s="4"/>
      <c r="N31" s="59"/>
      <c r="O31" s="4"/>
      <c r="P31" s="4"/>
      <c r="Q31" s="4"/>
      <c r="R31" s="4"/>
      <c r="S31" s="4"/>
      <c r="T31" s="59"/>
      <c r="U31" s="4"/>
      <c r="V31" s="4"/>
      <c r="W31" s="4"/>
      <c r="X31" s="4"/>
      <c r="Y31" s="4"/>
      <c r="Z31" s="59"/>
      <c r="AA31" s="4"/>
      <c r="AB31" s="4"/>
      <c r="AC31" s="1"/>
      <c r="AD31" s="4">
        <f t="shared" si="0"/>
        <v>0</v>
      </c>
      <c r="AE31" s="4">
        <f t="shared" si="1"/>
        <v>0</v>
      </c>
      <c r="AF31" s="4">
        <f t="shared" si="2"/>
        <v>0</v>
      </c>
      <c r="AG31" s="4">
        <f t="shared" si="3"/>
        <v>0</v>
      </c>
      <c r="AH31" s="10">
        <f t="shared" si="4"/>
        <v>0</v>
      </c>
    </row>
    <row r="32" spans="1:42" x14ac:dyDescent="0.3">
      <c r="A32" s="6">
        <v>21</v>
      </c>
      <c r="B32" s="54">
        <v>10</v>
      </c>
      <c r="C32" s="53" t="s">
        <v>77</v>
      </c>
      <c r="D32" s="4"/>
      <c r="E32" s="4"/>
      <c r="F32" s="4"/>
      <c r="G32" s="4"/>
      <c r="H32" s="59"/>
      <c r="I32" s="4"/>
      <c r="J32" s="4"/>
      <c r="K32" s="4"/>
      <c r="L32" s="4"/>
      <c r="M32" s="4"/>
      <c r="N32" s="59"/>
      <c r="O32" s="4"/>
      <c r="P32" s="4"/>
      <c r="Q32" s="4"/>
      <c r="R32" s="4"/>
      <c r="S32" s="4"/>
      <c r="T32" s="59"/>
      <c r="U32" s="4"/>
      <c r="V32" s="4"/>
      <c r="W32" s="4"/>
      <c r="X32" s="4"/>
      <c r="Y32" s="4"/>
      <c r="Z32" s="59"/>
      <c r="AA32" s="4"/>
      <c r="AB32" s="4"/>
      <c r="AC32" s="1"/>
      <c r="AD32" s="4">
        <f t="shared" si="0"/>
        <v>0</v>
      </c>
      <c r="AE32" s="4">
        <f t="shared" si="1"/>
        <v>0</v>
      </c>
      <c r="AF32" s="4">
        <f t="shared" si="2"/>
        <v>0</v>
      </c>
      <c r="AG32" s="4">
        <f t="shared" si="3"/>
        <v>0</v>
      </c>
      <c r="AH32" s="10">
        <f t="shared" si="4"/>
        <v>0</v>
      </c>
    </row>
    <row r="33" spans="1:34" x14ac:dyDescent="0.3">
      <c r="A33" s="6">
        <v>22</v>
      </c>
      <c r="B33" s="54">
        <v>10</v>
      </c>
      <c r="C33" s="53" t="s">
        <v>78</v>
      </c>
      <c r="D33" s="4"/>
      <c r="E33" s="4"/>
      <c r="F33" s="4"/>
      <c r="G33" s="4"/>
      <c r="H33" s="59"/>
      <c r="I33" s="4"/>
      <c r="J33" s="4"/>
      <c r="K33" s="4"/>
      <c r="L33" s="4"/>
      <c r="M33" s="4"/>
      <c r="N33" s="59"/>
      <c r="O33" s="4"/>
      <c r="P33" s="4"/>
      <c r="Q33" s="4"/>
      <c r="R33" s="4"/>
      <c r="S33" s="4"/>
      <c r="T33" s="59"/>
      <c r="U33" s="4"/>
      <c r="V33" s="4"/>
      <c r="W33" s="4"/>
      <c r="X33" s="4"/>
      <c r="Y33" s="4"/>
      <c r="Z33" s="59"/>
      <c r="AA33" s="4"/>
      <c r="AB33" s="4"/>
      <c r="AC33" s="1"/>
      <c r="AD33" s="4">
        <f t="shared" si="0"/>
        <v>0</v>
      </c>
      <c r="AE33" s="4">
        <f t="shared" si="1"/>
        <v>0</v>
      </c>
      <c r="AF33" s="4">
        <f t="shared" si="2"/>
        <v>0</v>
      </c>
      <c r="AG33" s="4">
        <f t="shared" si="3"/>
        <v>0</v>
      </c>
      <c r="AH33" s="10">
        <f t="shared" si="4"/>
        <v>0</v>
      </c>
    </row>
    <row r="34" spans="1:34" x14ac:dyDescent="0.3">
      <c r="A34" s="6">
        <v>23</v>
      </c>
      <c r="B34" s="54">
        <v>10</v>
      </c>
      <c r="C34" s="53" t="s">
        <v>79</v>
      </c>
      <c r="D34" s="4"/>
      <c r="E34" s="4"/>
      <c r="F34" s="4"/>
      <c r="G34" s="4"/>
      <c r="H34" s="59"/>
      <c r="I34" s="4"/>
      <c r="J34" s="4"/>
      <c r="K34" s="4"/>
      <c r="L34" s="4"/>
      <c r="M34" s="4"/>
      <c r="N34" s="59"/>
      <c r="O34" s="4"/>
      <c r="P34" s="4"/>
      <c r="Q34" s="4"/>
      <c r="R34" s="4"/>
      <c r="S34" s="4"/>
      <c r="T34" s="59"/>
      <c r="U34" s="4"/>
      <c r="V34" s="4"/>
      <c r="W34" s="4"/>
      <c r="X34" s="4"/>
      <c r="Y34" s="4"/>
      <c r="Z34" s="59"/>
      <c r="AA34" s="4"/>
      <c r="AB34" s="4"/>
      <c r="AC34" s="1"/>
      <c r="AD34" s="4">
        <f t="shared" si="0"/>
        <v>0</v>
      </c>
      <c r="AE34" s="4">
        <f t="shared" si="1"/>
        <v>0</v>
      </c>
      <c r="AF34" s="4">
        <f t="shared" si="2"/>
        <v>0</v>
      </c>
      <c r="AG34" s="4">
        <f t="shared" si="3"/>
        <v>0</v>
      </c>
      <c r="AH34" s="10">
        <f t="shared" si="4"/>
        <v>0</v>
      </c>
    </row>
    <row r="35" spans="1:34" x14ac:dyDescent="0.3">
      <c r="A35" s="6">
        <v>24</v>
      </c>
      <c r="B35" s="54">
        <v>10</v>
      </c>
      <c r="C35" s="53" t="s">
        <v>80</v>
      </c>
      <c r="D35" s="4"/>
      <c r="E35" s="4"/>
      <c r="F35" s="4"/>
      <c r="G35" s="4"/>
      <c r="H35" s="59"/>
      <c r="I35" s="4"/>
      <c r="J35" s="4"/>
      <c r="K35" s="4"/>
      <c r="L35" s="4"/>
      <c r="M35" s="4"/>
      <c r="N35" s="59"/>
      <c r="O35" s="4"/>
      <c r="P35" s="4"/>
      <c r="Q35" s="4"/>
      <c r="R35" s="4"/>
      <c r="S35" s="4"/>
      <c r="T35" s="59"/>
      <c r="U35" s="4"/>
      <c r="V35" s="4"/>
      <c r="W35" s="4"/>
      <c r="X35" s="4"/>
      <c r="Y35" s="4"/>
      <c r="Z35" s="59"/>
      <c r="AA35" s="4"/>
      <c r="AB35" s="4"/>
      <c r="AC35" s="1"/>
      <c r="AD35" s="4">
        <f t="shared" si="0"/>
        <v>0</v>
      </c>
      <c r="AE35" s="4">
        <f t="shared" si="1"/>
        <v>0</v>
      </c>
      <c r="AF35" s="4">
        <f t="shared" si="2"/>
        <v>0</v>
      </c>
      <c r="AG35" s="4">
        <f t="shared" si="3"/>
        <v>0</v>
      </c>
      <c r="AH35" s="10">
        <f t="shared" si="4"/>
        <v>0</v>
      </c>
    </row>
    <row r="36" spans="1:34" x14ac:dyDescent="0.3">
      <c r="A36" s="6">
        <v>25</v>
      </c>
      <c r="B36" s="54">
        <v>10</v>
      </c>
      <c r="C36" s="53" t="s">
        <v>81</v>
      </c>
      <c r="D36" s="4"/>
      <c r="E36" s="4"/>
      <c r="F36" s="4"/>
      <c r="G36" s="4"/>
      <c r="H36" s="59"/>
      <c r="I36" s="4"/>
      <c r="J36" s="4"/>
      <c r="K36" s="4"/>
      <c r="L36" s="4"/>
      <c r="M36" s="4"/>
      <c r="N36" s="59"/>
      <c r="O36" s="4"/>
      <c r="P36" s="4"/>
      <c r="Q36" s="4"/>
      <c r="R36" s="4"/>
      <c r="S36" s="4"/>
      <c r="T36" s="59"/>
      <c r="U36" s="4"/>
      <c r="V36" s="4"/>
      <c r="W36" s="4"/>
      <c r="X36" s="4"/>
      <c r="Y36" s="4"/>
      <c r="Z36" s="59"/>
      <c r="AA36" s="4"/>
      <c r="AB36" s="4"/>
      <c r="AC36" s="1"/>
      <c r="AD36" s="4">
        <f t="shared" si="0"/>
        <v>0</v>
      </c>
      <c r="AE36" s="4">
        <f t="shared" si="1"/>
        <v>0</v>
      </c>
      <c r="AF36" s="4">
        <f t="shared" si="2"/>
        <v>0</v>
      </c>
      <c r="AG36" s="4">
        <f t="shared" si="3"/>
        <v>0</v>
      </c>
      <c r="AH36" s="10">
        <f t="shared" si="4"/>
        <v>0</v>
      </c>
    </row>
    <row r="37" spans="1:34" x14ac:dyDescent="0.3">
      <c r="A37" s="6">
        <v>26</v>
      </c>
      <c r="B37" s="54">
        <v>10</v>
      </c>
      <c r="C37" s="53" t="s">
        <v>82</v>
      </c>
      <c r="D37" s="4"/>
      <c r="E37" s="4"/>
      <c r="F37" s="4"/>
      <c r="G37" s="4"/>
      <c r="H37" s="59"/>
      <c r="I37" s="4"/>
      <c r="J37" s="4"/>
      <c r="K37" s="4"/>
      <c r="L37" s="4"/>
      <c r="M37" s="4"/>
      <c r="N37" s="59"/>
      <c r="O37" s="4"/>
      <c r="P37" s="4"/>
      <c r="Q37" s="4"/>
      <c r="R37" s="4"/>
      <c r="S37" s="4"/>
      <c r="T37" s="59"/>
      <c r="U37" s="4"/>
      <c r="V37" s="4"/>
      <c r="W37" s="4"/>
      <c r="X37" s="4"/>
      <c r="Y37" s="4"/>
      <c r="Z37" s="59"/>
      <c r="AA37" s="4"/>
      <c r="AB37" s="4"/>
      <c r="AC37" s="1"/>
      <c r="AD37" s="4">
        <f t="shared" ref="AD37:AD39" si="5">COUNTIF(D37:AB37,1)</f>
        <v>0</v>
      </c>
      <c r="AE37" s="4">
        <f t="shared" ref="AE37:AE39" si="6">COUNTIF(D37:AB37,0)</f>
        <v>0</v>
      </c>
      <c r="AF37" s="4">
        <f t="shared" ref="AF37:AF39" si="7">COUNTIF(D37:AB37,"T")</f>
        <v>0</v>
      </c>
      <c r="AG37" s="4">
        <f t="shared" ref="AG37:AG39" si="8">COUNTIF(D37:AB37,"J")</f>
        <v>0</v>
      </c>
      <c r="AH37" s="10">
        <f t="shared" ref="AH37:AH39" si="9">SUM(AD37+AF37)/22</f>
        <v>0</v>
      </c>
    </row>
    <row r="38" spans="1:34" x14ac:dyDescent="0.3">
      <c r="A38" s="6">
        <v>27</v>
      </c>
      <c r="B38" s="54">
        <v>10</v>
      </c>
      <c r="C38" s="53" t="s">
        <v>83</v>
      </c>
      <c r="D38" s="4"/>
      <c r="E38" s="4"/>
      <c r="F38" s="4"/>
      <c r="G38" s="4"/>
      <c r="H38" s="59"/>
      <c r="I38" s="4"/>
      <c r="J38" s="4"/>
      <c r="K38" s="4"/>
      <c r="L38" s="4"/>
      <c r="M38" s="4"/>
      <c r="N38" s="59"/>
      <c r="O38" s="4"/>
      <c r="P38" s="4"/>
      <c r="Q38" s="4"/>
      <c r="R38" s="4"/>
      <c r="S38" s="4"/>
      <c r="T38" s="59"/>
      <c r="U38" s="4"/>
      <c r="V38" s="4"/>
      <c r="W38" s="4"/>
      <c r="X38" s="4"/>
      <c r="Y38" s="4"/>
      <c r="Z38" s="59"/>
      <c r="AA38" s="4"/>
      <c r="AB38" s="4"/>
      <c r="AC38" s="1"/>
      <c r="AD38" s="4">
        <f t="shared" si="5"/>
        <v>0</v>
      </c>
      <c r="AE38" s="4">
        <f t="shared" si="6"/>
        <v>0</v>
      </c>
      <c r="AF38" s="4">
        <f t="shared" si="7"/>
        <v>0</v>
      </c>
      <c r="AG38" s="4">
        <f t="shared" si="8"/>
        <v>0</v>
      </c>
      <c r="AH38" s="10">
        <f t="shared" si="9"/>
        <v>0</v>
      </c>
    </row>
    <row r="39" spans="1:34" x14ac:dyDescent="0.3">
      <c r="A39" s="6">
        <v>28</v>
      </c>
      <c r="B39" s="54">
        <v>11</v>
      </c>
      <c r="C39" s="53" t="s">
        <v>84</v>
      </c>
      <c r="D39" s="4"/>
      <c r="E39" s="4"/>
      <c r="F39" s="4"/>
      <c r="G39" s="4"/>
      <c r="H39" s="59"/>
      <c r="I39" s="4"/>
      <c r="J39" s="4"/>
      <c r="K39" s="4"/>
      <c r="L39" s="4"/>
      <c r="M39" s="4"/>
      <c r="N39" s="59"/>
      <c r="O39" s="4"/>
      <c r="P39" s="4"/>
      <c r="Q39" s="4"/>
      <c r="R39" s="4"/>
      <c r="S39" s="4"/>
      <c r="T39" s="59"/>
      <c r="U39" s="4"/>
      <c r="V39" s="4"/>
      <c r="W39" s="4"/>
      <c r="X39" s="4"/>
      <c r="Y39" s="4"/>
      <c r="Z39" s="59"/>
      <c r="AA39" s="4"/>
      <c r="AB39" s="4"/>
      <c r="AC39" s="1"/>
      <c r="AD39" s="4">
        <f t="shared" si="5"/>
        <v>0</v>
      </c>
      <c r="AE39" s="4">
        <f t="shared" si="6"/>
        <v>0</v>
      </c>
      <c r="AF39" s="4">
        <f t="shared" si="7"/>
        <v>0</v>
      </c>
      <c r="AG39" s="4">
        <f t="shared" si="8"/>
        <v>0</v>
      </c>
      <c r="AH39" s="10">
        <f t="shared" si="9"/>
        <v>0</v>
      </c>
    </row>
  </sheetData>
  <mergeCells count="25">
    <mergeCell ref="A1:B7"/>
    <mergeCell ref="AA2:AD3"/>
    <mergeCell ref="AA4:AD5"/>
    <mergeCell ref="AA6:AD7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Y9:AD9"/>
    <mergeCell ref="C2:Z6"/>
    <mergeCell ref="C7:Z7"/>
    <mergeCell ref="AK11:AR11"/>
    <mergeCell ref="AC10:AD10"/>
    <mergeCell ref="AE1:AH10"/>
    <mergeCell ref="C1:AD1"/>
    <mergeCell ref="H11:H39"/>
    <mergeCell ref="N11:N39"/>
    <mergeCell ref="T11:T39"/>
    <mergeCell ref="Z11:Z39"/>
  </mergeCells>
  <conditionalFormatting sqref="H11 N11 T11 Z11 D12:G39 I12:M39 O12:S39 U12:Y39 AA12:AC39">
    <cfRule type="cellIs" dxfId="9" priority="9" operator="equal">
      <formula>"J"</formula>
    </cfRule>
  </conditionalFormatting>
  <conditionalFormatting sqref="H11 I12:M23 O12:S23 U12:Y23 AA12:AB23 E13:G23">
    <cfRule type="cellIs" dxfId="8" priority="3" operator="equal">
      <formula>"T"</formula>
    </cfRule>
  </conditionalFormatting>
  <conditionalFormatting sqref="H11 N11 T11 Z11 D12:G39 I12:M39 O12:S39 U12:Y39 AA12:AC39">
    <cfRule type="cellIs" dxfId="7" priority="1" stopIfTrue="1" operator="equal">
      <formula>"T"</formula>
    </cfRule>
  </conditionalFormatting>
  <conditionalFormatting sqref="I16:J23">
    <cfRule type="cellIs" dxfId="6" priority="4" stopIfTrue="1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0E9BB01D-B937-4C81-9181-764077598D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H11 N11 T11 Z11 D12:G39 I12:M39 O12:S39 U12:Y39 AA12:AC39</xm:sqref>
        </x14:conditionalFormatting>
        <x14:conditionalFormatting xmlns:xm="http://schemas.microsoft.com/office/excel/2006/main">
          <x14:cfRule type="iconSet" priority="7" id="{2020F72D-8A3D-49EE-BED7-FCAA990363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U12:Y12 I12:M12 E16:G23 E13:G13 E14:E15 H11 I13:K23 O12:S12 AA12:AB12</xm:sqref>
        </x14:conditionalFormatting>
        <x14:conditionalFormatting xmlns:xm="http://schemas.microsoft.com/office/excel/2006/main">
          <x14:cfRule type="iconSet" priority="6" id="{42CC66DC-1F42-4E55-8608-2ED4FA383E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I15:K23 E13:E15 D40:AC63 D24:G39 I24:M39 O24:S39 U24:Y39 AA24:AB39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18AF-5F13-44BA-872C-4C4DAD5FF917}">
  <sheetPr codeName="Hoja10"/>
  <dimension ref="A1:AQ39"/>
  <sheetViews>
    <sheetView topLeftCell="C6" zoomScale="90" zoomScaleNormal="90" workbookViewId="0">
      <selection activeCell="AJ11" sqref="AJ11:AQ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4" width="3.33203125" customWidth="1"/>
    <col min="5" max="5" width="3" customWidth="1"/>
    <col min="6" max="6" width="3.88671875" customWidth="1"/>
    <col min="7" max="10" width="3.21875" bestFit="1" customWidth="1"/>
    <col min="11" max="27" width="3.21875" customWidth="1"/>
    <col min="28" max="28" width="3" customWidth="1"/>
    <col min="29" max="29" width="11.77734375" customWidth="1"/>
    <col min="30" max="30" width="7.33203125" bestFit="1" customWidth="1"/>
    <col min="31" max="31" width="7" bestFit="1" customWidth="1"/>
    <col min="32" max="32" width="14.77734375" bestFit="1" customWidth="1"/>
    <col min="33" max="33" width="13.77734375" bestFit="1" customWidth="1"/>
  </cols>
  <sheetData>
    <row r="1" spans="1:43" x14ac:dyDescent="0.3">
      <c r="A1" s="65"/>
      <c r="B1" s="65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78"/>
      <c r="AF1" s="78"/>
      <c r="AG1" s="78"/>
    </row>
    <row r="2" spans="1:43" x14ac:dyDescent="0.3">
      <c r="A2" s="65"/>
      <c r="B2" s="65"/>
      <c r="C2" s="63" t="e" vm="1">
        <v>#VALUE!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71" t="s">
        <v>15</v>
      </c>
      <c r="AB2" s="71"/>
      <c r="AC2" s="71"/>
      <c r="AD2" s="71"/>
      <c r="AE2" s="80"/>
      <c r="AF2" s="78"/>
      <c r="AG2" s="78"/>
    </row>
    <row r="3" spans="1:43" x14ac:dyDescent="0.3">
      <c r="A3" s="65"/>
      <c r="B3" s="65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71"/>
      <c r="AB3" s="71"/>
      <c r="AC3" s="71"/>
      <c r="AD3" s="71"/>
      <c r="AE3" s="80"/>
      <c r="AF3" s="78"/>
      <c r="AG3" s="78"/>
    </row>
    <row r="4" spans="1:43" ht="14.55" customHeight="1" x14ac:dyDescent="0.3">
      <c r="A4" s="65"/>
      <c r="B4" s="65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72" t="s">
        <v>17</v>
      </c>
      <c r="AB4" s="72"/>
      <c r="AC4" s="72"/>
      <c r="AD4" s="72"/>
      <c r="AE4" s="80"/>
      <c r="AF4" s="78"/>
      <c r="AG4" s="78"/>
    </row>
    <row r="5" spans="1:43" x14ac:dyDescent="0.3">
      <c r="A5" s="65"/>
      <c r="B5" s="6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72"/>
      <c r="AB5" s="72"/>
      <c r="AC5" s="72"/>
      <c r="AD5" s="72"/>
      <c r="AE5" s="80"/>
      <c r="AF5" s="78"/>
      <c r="AG5" s="78"/>
    </row>
    <row r="6" spans="1:43" ht="14.55" customHeight="1" x14ac:dyDescent="0.3">
      <c r="A6" s="65"/>
      <c r="B6" s="6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2" t="s">
        <v>16</v>
      </c>
      <c r="AB6" s="72"/>
      <c r="AC6" s="72"/>
      <c r="AD6" s="72"/>
      <c r="AE6" s="80"/>
      <c r="AF6" s="78"/>
      <c r="AG6" s="78"/>
    </row>
    <row r="7" spans="1:43" x14ac:dyDescent="0.3">
      <c r="A7" s="65"/>
      <c r="B7" s="65"/>
      <c r="C7" s="77" t="s">
        <v>18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2"/>
      <c r="AB7" s="72"/>
      <c r="AC7" s="72"/>
      <c r="AD7" s="72"/>
      <c r="AE7" s="80"/>
      <c r="AF7" s="78"/>
      <c r="AG7" s="78"/>
    </row>
    <row r="8" spans="1:43" x14ac:dyDescent="0.3">
      <c r="A8" s="60"/>
      <c r="B8" s="61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78"/>
      <c r="AF8" s="78"/>
      <c r="AG8" s="78"/>
    </row>
    <row r="9" spans="1:43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3"/>
      <c r="Z9" s="63"/>
      <c r="AA9" s="63"/>
      <c r="AB9" s="63"/>
      <c r="AC9" s="63"/>
      <c r="AD9" s="63"/>
      <c r="AE9" s="80"/>
      <c r="AF9" s="78"/>
      <c r="AG9" s="78"/>
    </row>
    <row r="10" spans="1:43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3"/>
      <c r="AD10" s="63"/>
      <c r="AE10" s="81"/>
      <c r="AF10" s="82"/>
      <c r="AG10" s="82"/>
    </row>
    <row r="11" spans="1:43" s="3" customFormat="1" x14ac:dyDescent="0.3">
      <c r="A11" s="6" t="s">
        <v>8</v>
      </c>
      <c r="B11" s="2" t="s">
        <v>7</v>
      </c>
      <c r="C11" s="11" t="s">
        <v>0</v>
      </c>
      <c r="D11" s="1">
        <v>1</v>
      </c>
      <c r="E11" s="1">
        <v>2</v>
      </c>
      <c r="F11" s="58"/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70"/>
      <c r="M11" s="1">
        <v>13</v>
      </c>
      <c r="N11" s="1">
        <v>14</v>
      </c>
      <c r="O11" s="1">
        <v>15</v>
      </c>
      <c r="P11" s="1">
        <v>16</v>
      </c>
      <c r="Q11" s="58"/>
      <c r="R11" s="1">
        <v>19</v>
      </c>
      <c r="S11" s="1">
        <v>20</v>
      </c>
      <c r="T11" s="1">
        <v>21</v>
      </c>
      <c r="U11" s="1">
        <v>22</v>
      </c>
      <c r="V11" s="1">
        <v>23</v>
      </c>
      <c r="W11" s="58"/>
      <c r="X11" s="1">
        <v>26</v>
      </c>
      <c r="Y11" s="1">
        <v>27</v>
      </c>
      <c r="Z11" s="1">
        <v>28</v>
      </c>
      <c r="AA11" s="1">
        <v>29</v>
      </c>
      <c r="AB11" s="1">
        <v>30</v>
      </c>
      <c r="AC11" s="1" t="s">
        <v>1</v>
      </c>
      <c r="AD11" s="1" t="s">
        <v>2</v>
      </c>
      <c r="AE11" s="1" t="s">
        <v>3</v>
      </c>
      <c r="AF11" s="1" t="s">
        <v>4</v>
      </c>
      <c r="AG11" s="1" t="s">
        <v>5</v>
      </c>
      <c r="AJ11" s="55" t="s">
        <v>9</v>
      </c>
      <c r="AK11" s="56"/>
      <c r="AL11" s="56"/>
      <c r="AM11" s="56"/>
      <c r="AN11" s="56"/>
      <c r="AO11" s="56"/>
      <c r="AP11" s="56"/>
      <c r="AQ11" s="57"/>
    </row>
    <row r="12" spans="1:43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59"/>
      <c r="G12" s="70"/>
      <c r="H12" s="70"/>
      <c r="I12" s="70"/>
      <c r="J12" s="70"/>
      <c r="K12" s="70"/>
      <c r="L12" s="88"/>
      <c r="M12" s="1"/>
      <c r="N12" s="1"/>
      <c r="O12" s="1"/>
      <c r="P12" s="1"/>
      <c r="Q12" s="59"/>
      <c r="R12" s="1"/>
      <c r="S12" s="1"/>
      <c r="T12" s="1"/>
      <c r="U12" s="1"/>
      <c r="V12" s="1"/>
      <c r="W12" s="59"/>
      <c r="X12" s="1"/>
      <c r="Y12" s="1"/>
      <c r="Z12" s="1"/>
      <c r="AA12" s="1"/>
      <c r="AB12" s="1"/>
      <c r="AC12" s="4">
        <f t="shared" ref="AC12:AC36" si="0">COUNTIF(D12:Y12,1)</f>
        <v>0</v>
      </c>
      <c r="AD12" s="4">
        <f t="shared" ref="AD12:AD36" si="1">COUNTIF(D12:Y12,0)</f>
        <v>0</v>
      </c>
      <c r="AE12" s="4">
        <f t="shared" ref="AE12:AE36" si="2">COUNTIF(D12:Y12,"T")</f>
        <v>0</v>
      </c>
      <c r="AF12" s="4">
        <f t="shared" ref="AF12:AF36" si="3">COUNTIF(D12:Y12,"J")</f>
        <v>0</v>
      </c>
      <c r="AG12" s="10">
        <f>SUM(AC12+AE12)/16</f>
        <v>0</v>
      </c>
      <c r="AJ12" s="17"/>
      <c r="AK12" s="14">
        <v>1</v>
      </c>
      <c r="AL12" s="3" t="s">
        <v>10</v>
      </c>
      <c r="AM12" s="8"/>
      <c r="AN12" s="8"/>
      <c r="AQ12" s="18"/>
    </row>
    <row r="13" spans="1:43" s="3" customFormat="1" x14ac:dyDescent="0.3">
      <c r="A13" s="6">
        <v>2</v>
      </c>
      <c r="B13" s="47">
        <v>6</v>
      </c>
      <c r="C13" s="53" t="s">
        <v>58</v>
      </c>
      <c r="D13" s="1"/>
      <c r="E13" s="4"/>
      <c r="F13" s="59"/>
      <c r="G13" s="88"/>
      <c r="H13" s="88"/>
      <c r="I13" s="88"/>
      <c r="J13" s="88"/>
      <c r="K13" s="88"/>
      <c r="L13" s="88"/>
      <c r="M13" s="1"/>
      <c r="N13" s="1"/>
      <c r="O13" s="1"/>
      <c r="P13" s="1"/>
      <c r="Q13" s="59"/>
      <c r="R13" s="1"/>
      <c r="S13" s="1"/>
      <c r="T13" s="1"/>
      <c r="U13" s="1"/>
      <c r="V13" s="1"/>
      <c r="W13" s="59"/>
      <c r="X13" s="1"/>
      <c r="Y13" s="1"/>
      <c r="Z13" s="1"/>
      <c r="AA13" s="1"/>
      <c r="AB13" s="1"/>
      <c r="AC13" s="4">
        <f t="shared" si="0"/>
        <v>0</v>
      </c>
      <c r="AD13" s="4">
        <f t="shared" si="1"/>
        <v>0</v>
      </c>
      <c r="AE13" s="4">
        <f t="shared" si="2"/>
        <v>0</v>
      </c>
      <c r="AF13" s="4">
        <f t="shared" si="3"/>
        <v>0</v>
      </c>
      <c r="AG13" s="10">
        <f t="shared" ref="AG13:AG36" si="4">SUM(AC13+AE13)/16</f>
        <v>0</v>
      </c>
      <c r="AJ13" s="17"/>
      <c r="AK13" s="15">
        <v>0</v>
      </c>
      <c r="AL13" s="3" t="s">
        <v>14</v>
      </c>
      <c r="AQ13" s="18"/>
    </row>
    <row r="14" spans="1:43" s="3" customFormat="1" x14ac:dyDescent="0.3">
      <c r="A14" s="6">
        <v>3</v>
      </c>
      <c r="B14" s="47">
        <v>6</v>
      </c>
      <c r="C14" s="53" t="s">
        <v>59</v>
      </c>
      <c r="D14" s="1"/>
      <c r="E14" s="4"/>
      <c r="F14" s="59"/>
      <c r="G14" s="88"/>
      <c r="H14" s="88"/>
      <c r="I14" s="88"/>
      <c r="J14" s="88"/>
      <c r="K14" s="88"/>
      <c r="L14" s="88"/>
      <c r="M14" s="1"/>
      <c r="N14" s="1"/>
      <c r="O14" s="1"/>
      <c r="P14" s="1"/>
      <c r="Q14" s="59"/>
      <c r="R14" s="1"/>
      <c r="S14" s="1"/>
      <c r="T14" s="1"/>
      <c r="U14" s="1"/>
      <c r="V14" s="1"/>
      <c r="W14" s="59"/>
      <c r="X14" s="1"/>
      <c r="Y14" s="1"/>
      <c r="Z14" s="1"/>
      <c r="AA14" s="1"/>
      <c r="AB14" s="1"/>
      <c r="AC14" s="4">
        <f t="shared" si="0"/>
        <v>0</v>
      </c>
      <c r="AD14" s="4">
        <f t="shared" si="1"/>
        <v>0</v>
      </c>
      <c r="AE14" s="4">
        <f t="shared" si="2"/>
        <v>0</v>
      </c>
      <c r="AF14" s="4">
        <f t="shared" si="3"/>
        <v>0</v>
      </c>
      <c r="AG14" s="10">
        <f t="shared" si="4"/>
        <v>0</v>
      </c>
      <c r="AJ14" s="17"/>
      <c r="AK14" s="16" t="s">
        <v>11</v>
      </c>
      <c r="AL14" s="3" t="s">
        <v>12</v>
      </c>
      <c r="AQ14" s="18"/>
    </row>
    <row r="15" spans="1:43" ht="15" thickBot="1" x14ac:dyDescent="0.35">
      <c r="A15" s="6">
        <v>4</v>
      </c>
      <c r="B15" s="47">
        <v>7</v>
      </c>
      <c r="C15" s="53" t="s">
        <v>60</v>
      </c>
      <c r="D15" s="1"/>
      <c r="E15" s="4"/>
      <c r="F15" s="59"/>
      <c r="G15" s="88"/>
      <c r="H15" s="88"/>
      <c r="I15" s="88"/>
      <c r="J15" s="88"/>
      <c r="K15" s="88"/>
      <c r="L15" s="88"/>
      <c r="M15" s="1"/>
      <c r="N15" s="1"/>
      <c r="O15" s="1"/>
      <c r="P15" s="1"/>
      <c r="Q15" s="59"/>
      <c r="R15" s="1"/>
      <c r="S15" s="1"/>
      <c r="T15" s="1"/>
      <c r="U15" s="1"/>
      <c r="V15" s="1"/>
      <c r="W15" s="59"/>
      <c r="X15" s="1"/>
      <c r="Y15" s="1"/>
      <c r="Z15" s="1"/>
      <c r="AA15" s="1"/>
      <c r="AB15" s="1"/>
      <c r="AC15" s="4">
        <f t="shared" si="0"/>
        <v>0</v>
      </c>
      <c r="AD15" s="4">
        <f t="shared" si="1"/>
        <v>0</v>
      </c>
      <c r="AE15" s="4">
        <f t="shared" si="2"/>
        <v>0</v>
      </c>
      <c r="AF15" s="4">
        <f t="shared" si="3"/>
        <v>0</v>
      </c>
      <c r="AG15" s="10">
        <f t="shared" si="4"/>
        <v>0</v>
      </c>
      <c r="AJ15" s="19"/>
      <c r="AK15" s="20" t="s">
        <v>6</v>
      </c>
      <c r="AL15" s="21" t="s">
        <v>13</v>
      </c>
      <c r="AM15" s="22"/>
      <c r="AN15" s="22"/>
      <c r="AO15" s="22"/>
      <c r="AP15" s="22"/>
      <c r="AQ15" s="23"/>
    </row>
    <row r="16" spans="1:43" x14ac:dyDescent="0.3">
      <c r="A16" s="6">
        <v>5</v>
      </c>
      <c r="B16" s="47">
        <v>7</v>
      </c>
      <c r="C16" s="53" t="s">
        <v>61</v>
      </c>
      <c r="D16" s="1"/>
      <c r="E16" s="1"/>
      <c r="F16" s="59"/>
      <c r="G16" s="88"/>
      <c r="H16" s="88"/>
      <c r="I16" s="88"/>
      <c r="J16" s="88"/>
      <c r="K16" s="88"/>
      <c r="L16" s="88"/>
      <c r="M16" s="1"/>
      <c r="N16" s="1"/>
      <c r="O16" s="1"/>
      <c r="P16" s="1"/>
      <c r="Q16" s="59"/>
      <c r="R16" s="1"/>
      <c r="S16" s="1"/>
      <c r="T16" s="1"/>
      <c r="U16" s="1"/>
      <c r="V16" s="1"/>
      <c r="W16" s="59"/>
      <c r="X16" s="1"/>
      <c r="Y16" s="1"/>
      <c r="Z16" s="1"/>
      <c r="AA16" s="1"/>
      <c r="AB16" s="1"/>
      <c r="AC16" s="4">
        <f t="shared" si="0"/>
        <v>0</v>
      </c>
      <c r="AD16" s="4">
        <f t="shared" si="1"/>
        <v>0</v>
      </c>
      <c r="AE16" s="4">
        <f t="shared" si="2"/>
        <v>0</v>
      </c>
      <c r="AF16" s="4">
        <f t="shared" si="3"/>
        <v>0</v>
      </c>
      <c r="AG16" s="10">
        <f t="shared" si="4"/>
        <v>0</v>
      </c>
      <c r="AK16" t="s">
        <v>50</v>
      </c>
      <c r="AL16" s="3" t="s">
        <v>51</v>
      </c>
    </row>
    <row r="17" spans="1:41" x14ac:dyDescent="0.3">
      <c r="A17" s="6">
        <v>6</v>
      </c>
      <c r="B17" s="47">
        <v>7</v>
      </c>
      <c r="C17" s="53" t="s">
        <v>62</v>
      </c>
      <c r="D17" s="1"/>
      <c r="E17" s="1"/>
      <c r="F17" s="59"/>
      <c r="G17" s="88"/>
      <c r="H17" s="88"/>
      <c r="I17" s="88"/>
      <c r="J17" s="88"/>
      <c r="K17" s="88"/>
      <c r="L17" s="88"/>
      <c r="M17" s="1"/>
      <c r="N17" s="1"/>
      <c r="O17" s="1"/>
      <c r="P17" s="1"/>
      <c r="Q17" s="59"/>
      <c r="R17" s="1"/>
      <c r="S17" s="1"/>
      <c r="T17" s="1"/>
      <c r="U17" s="1"/>
      <c r="V17" s="1"/>
      <c r="W17" s="59"/>
      <c r="X17" s="1"/>
      <c r="Y17" s="1"/>
      <c r="Z17" s="1"/>
      <c r="AA17" s="1"/>
      <c r="AB17" s="1"/>
      <c r="AC17" s="4">
        <f t="shared" si="0"/>
        <v>0</v>
      </c>
      <c r="AD17" s="4">
        <f t="shared" si="1"/>
        <v>0</v>
      </c>
      <c r="AE17" s="4">
        <f t="shared" si="2"/>
        <v>0</v>
      </c>
      <c r="AF17" s="4">
        <f t="shared" si="3"/>
        <v>0</v>
      </c>
      <c r="AG17" s="10">
        <f t="shared" si="4"/>
        <v>0</v>
      </c>
    </row>
    <row r="18" spans="1:41" x14ac:dyDescent="0.3">
      <c r="A18" s="6">
        <v>7</v>
      </c>
      <c r="B18" s="47">
        <v>7</v>
      </c>
      <c r="C18" s="53" t="s">
        <v>63</v>
      </c>
      <c r="D18" s="1"/>
      <c r="E18" s="1"/>
      <c r="F18" s="59"/>
      <c r="G18" s="88"/>
      <c r="H18" s="88"/>
      <c r="I18" s="88"/>
      <c r="J18" s="88"/>
      <c r="K18" s="88"/>
      <c r="L18" s="88"/>
      <c r="M18" s="1"/>
      <c r="N18" s="1"/>
      <c r="O18" s="1"/>
      <c r="P18" s="1"/>
      <c r="Q18" s="59"/>
      <c r="R18" s="1"/>
      <c r="S18" s="1"/>
      <c r="T18" s="1"/>
      <c r="U18" s="1"/>
      <c r="V18" s="1"/>
      <c r="W18" s="59"/>
      <c r="X18" s="1"/>
      <c r="Y18" s="1"/>
      <c r="Z18" s="1"/>
      <c r="AA18" s="1"/>
      <c r="AB18" s="1"/>
      <c r="AC18" s="4">
        <f t="shared" si="0"/>
        <v>0</v>
      </c>
      <c r="AD18" s="4">
        <f t="shared" si="1"/>
        <v>0</v>
      </c>
      <c r="AE18" s="4">
        <f t="shared" si="2"/>
        <v>0</v>
      </c>
      <c r="AF18" s="4">
        <f t="shared" si="3"/>
        <v>0</v>
      </c>
      <c r="AG18" s="10">
        <f t="shared" si="4"/>
        <v>0</v>
      </c>
      <c r="AL18" s="8"/>
      <c r="AN18" s="3"/>
      <c r="AO18" s="3"/>
    </row>
    <row r="19" spans="1:41" x14ac:dyDescent="0.3">
      <c r="A19" s="6">
        <v>8</v>
      </c>
      <c r="B19" s="47">
        <v>7</v>
      </c>
      <c r="C19" s="53" t="s">
        <v>64</v>
      </c>
      <c r="D19" s="1"/>
      <c r="E19" s="1"/>
      <c r="F19" s="59"/>
      <c r="G19" s="88"/>
      <c r="H19" s="88"/>
      <c r="I19" s="88"/>
      <c r="J19" s="88"/>
      <c r="K19" s="88"/>
      <c r="L19" s="88"/>
      <c r="M19" s="1"/>
      <c r="N19" s="1"/>
      <c r="O19" s="1"/>
      <c r="P19" s="1"/>
      <c r="Q19" s="59"/>
      <c r="R19" s="1"/>
      <c r="S19" s="1"/>
      <c r="T19" s="1"/>
      <c r="U19" s="1"/>
      <c r="V19" s="1"/>
      <c r="W19" s="59"/>
      <c r="X19" s="1"/>
      <c r="Y19" s="1"/>
      <c r="Z19" s="1"/>
      <c r="AA19" s="1"/>
      <c r="AB19" s="1"/>
      <c r="AC19" s="4">
        <f t="shared" si="0"/>
        <v>0</v>
      </c>
      <c r="AD19" s="4">
        <f t="shared" si="1"/>
        <v>0</v>
      </c>
      <c r="AE19" s="4">
        <f t="shared" si="2"/>
        <v>0</v>
      </c>
      <c r="AF19" s="4">
        <f t="shared" si="3"/>
        <v>0</v>
      </c>
      <c r="AG19" s="10">
        <f t="shared" si="4"/>
        <v>0</v>
      </c>
      <c r="AL19" s="8"/>
    </row>
    <row r="20" spans="1:41" x14ac:dyDescent="0.3">
      <c r="A20" s="6">
        <v>9</v>
      </c>
      <c r="B20" s="47">
        <v>7</v>
      </c>
      <c r="C20" s="53" t="s">
        <v>65</v>
      </c>
      <c r="D20" s="1"/>
      <c r="E20" s="1"/>
      <c r="F20" s="59"/>
      <c r="G20" s="88"/>
      <c r="H20" s="88"/>
      <c r="I20" s="88"/>
      <c r="J20" s="88"/>
      <c r="K20" s="88"/>
      <c r="L20" s="88"/>
      <c r="M20" s="1"/>
      <c r="N20" s="1"/>
      <c r="O20" s="1"/>
      <c r="P20" s="1"/>
      <c r="Q20" s="59"/>
      <c r="R20" s="1"/>
      <c r="S20" s="1"/>
      <c r="T20" s="1"/>
      <c r="U20" s="1"/>
      <c r="V20" s="1"/>
      <c r="W20" s="59"/>
      <c r="X20" s="1"/>
      <c r="Y20" s="1"/>
      <c r="Z20" s="1"/>
      <c r="AA20" s="1"/>
      <c r="AB20" s="1"/>
      <c r="AC20" s="4">
        <f t="shared" si="0"/>
        <v>0</v>
      </c>
      <c r="AD20" s="4">
        <f t="shared" si="1"/>
        <v>0</v>
      </c>
      <c r="AE20" s="4">
        <f t="shared" si="2"/>
        <v>0</v>
      </c>
      <c r="AF20" s="4">
        <f t="shared" si="3"/>
        <v>0</v>
      </c>
      <c r="AG20" s="10">
        <f t="shared" si="4"/>
        <v>0</v>
      </c>
      <c r="AL20" s="8"/>
      <c r="AM20" s="3"/>
      <c r="AN20" s="3"/>
      <c r="AO20" s="3"/>
    </row>
    <row r="21" spans="1:41" x14ac:dyDescent="0.3">
      <c r="A21" s="6">
        <v>10</v>
      </c>
      <c r="B21" s="47">
        <v>7</v>
      </c>
      <c r="C21" s="53" t="s">
        <v>66</v>
      </c>
      <c r="D21" s="1"/>
      <c r="E21" s="1"/>
      <c r="F21" s="59"/>
      <c r="G21" s="88"/>
      <c r="H21" s="88"/>
      <c r="I21" s="88"/>
      <c r="J21" s="88"/>
      <c r="K21" s="88"/>
      <c r="L21" s="88"/>
      <c r="M21" s="1"/>
      <c r="N21" s="1"/>
      <c r="O21" s="1"/>
      <c r="P21" s="1"/>
      <c r="Q21" s="59"/>
      <c r="R21" s="1"/>
      <c r="S21" s="1"/>
      <c r="T21" s="1"/>
      <c r="U21" s="1"/>
      <c r="V21" s="1"/>
      <c r="W21" s="59"/>
      <c r="X21" s="1"/>
      <c r="Y21" s="1"/>
      <c r="Z21" s="1"/>
      <c r="AA21" s="1"/>
      <c r="AB21" s="1"/>
      <c r="AC21" s="4">
        <f t="shared" si="0"/>
        <v>0</v>
      </c>
      <c r="AD21" s="4">
        <f t="shared" si="1"/>
        <v>0</v>
      </c>
      <c r="AE21" s="4">
        <f t="shared" si="2"/>
        <v>0</v>
      </c>
      <c r="AF21" s="4">
        <f t="shared" si="3"/>
        <v>0</v>
      </c>
      <c r="AG21" s="10">
        <f t="shared" si="4"/>
        <v>0</v>
      </c>
      <c r="AL21" s="7"/>
    </row>
    <row r="22" spans="1:41" x14ac:dyDescent="0.3">
      <c r="A22" s="6">
        <v>11</v>
      </c>
      <c r="B22" s="47">
        <v>8</v>
      </c>
      <c r="C22" s="53" t="s">
        <v>67</v>
      </c>
      <c r="D22" s="1"/>
      <c r="E22" s="1"/>
      <c r="F22" s="59"/>
      <c r="G22" s="88"/>
      <c r="H22" s="88"/>
      <c r="I22" s="88"/>
      <c r="J22" s="88"/>
      <c r="K22" s="88"/>
      <c r="L22" s="88"/>
      <c r="M22" s="1"/>
      <c r="N22" s="1"/>
      <c r="O22" s="1"/>
      <c r="P22" s="1"/>
      <c r="Q22" s="59"/>
      <c r="R22" s="1"/>
      <c r="S22" s="1"/>
      <c r="T22" s="1"/>
      <c r="U22" s="1"/>
      <c r="V22" s="1"/>
      <c r="W22" s="59"/>
      <c r="X22" s="1"/>
      <c r="Y22" s="1"/>
      <c r="Z22" s="1"/>
      <c r="AA22" s="1"/>
      <c r="AB22" s="1"/>
      <c r="AC22" s="4">
        <f t="shared" si="0"/>
        <v>0</v>
      </c>
      <c r="AD22" s="4">
        <f t="shared" si="1"/>
        <v>0</v>
      </c>
      <c r="AE22" s="4">
        <f t="shared" si="2"/>
        <v>0</v>
      </c>
      <c r="AF22" s="4">
        <f t="shared" si="3"/>
        <v>0</v>
      </c>
      <c r="AG22" s="10">
        <f t="shared" si="4"/>
        <v>0</v>
      </c>
    </row>
    <row r="23" spans="1:41" x14ac:dyDescent="0.3">
      <c r="A23" s="6">
        <v>12</v>
      </c>
      <c r="B23" s="47">
        <v>8</v>
      </c>
      <c r="C23" s="53" t="s">
        <v>68</v>
      </c>
      <c r="D23" s="1"/>
      <c r="E23" s="1"/>
      <c r="F23" s="59"/>
      <c r="G23" s="88"/>
      <c r="H23" s="88"/>
      <c r="I23" s="88"/>
      <c r="J23" s="88"/>
      <c r="K23" s="88"/>
      <c r="L23" s="88"/>
      <c r="M23" s="1"/>
      <c r="N23" s="1"/>
      <c r="O23" s="1"/>
      <c r="P23" s="1"/>
      <c r="Q23" s="59"/>
      <c r="R23" s="1"/>
      <c r="S23" s="1"/>
      <c r="T23" s="1"/>
      <c r="U23" s="1"/>
      <c r="V23" s="1"/>
      <c r="W23" s="59"/>
      <c r="X23" s="1"/>
      <c r="Y23" s="1"/>
      <c r="Z23" s="1"/>
      <c r="AA23" s="1"/>
      <c r="AB23" s="1"/>
      <c r="AC23" s="4">
        <f t="shared" si="0"/>
        <v>0</v>
      </c>
      <c r="AD23" s="4">
        <f t="shared" si="1"/>
        <v>0</v>
      </c>
      <c r="AE23" s="4">
        <f t="shared" si="2"/>
        <v>0</v>
      </c>
      <c r="AF23" s="4">
        <f t="shared" si="3"/>
        <v>0</v>
      </c>
      <c r="AG23" s="10">
        <f t="shared" si="4"/>
        <v>0</v>
      </c>
    </row>
    <row r="24" spans="1:41" x14ac:dyDescent="0.3">
      <c r="A24" s="6">
        <v>13</v>
      </c>
      <c r="B24" s="47">
        <v>8</v>
      </c>
      <c r="C24" s="53" t="s">
        <v>69</v>
      </c>
      <c r="D24" s="4"/>
      <c r="E24" s="4"/>
      <c r="F24" s="59"/>
      <c r="G24" s="88"/>
      <c r="H24" s="88"/>
      <c r="I24" s="88"/>
      <c r="J24" s="88"/>
      <c r="K24" s="88"/>
      <c r="L24" s="88"/>
      <c r="M24" s="4"/>
      <c r="N24" s="4"/>
      <c r="O24" s="4"/>
      <c r="P24" s="4"/>
      <c r="Q24" s="59"/>
      <c r="R24" s="4"/>
      <c r="S24" s="4"/>
      <c r="T24" s="4"/>
      <c r="U24" s="4"/>
      <c r="V24" s="4"/>
      <c r="W24" s="59"/>
      <c r="X24" s="4"/>
      <c r="Y24" s="4"/>
      <c r="Z24" s="4"/>
      <c r="AA24" s="4"/>
      <c r="AB24" s="1"/>
      <c r="AC24" s="4">
        <f t="shared" si="0"/>
        <v>0</v>
      </c>
      <c r="AD24" s="4">
        <f t="shared" si="1"/>
        <v>0</v>
      </c>
      <c r="AE24" s="4">
        <f t="shared" si="2"/>
        <v>0</v>
      </c>
      <c r="AF24" s="4">
        <f t="shared" si="3"/>
        <v>0</v>
      </c>
      <c r="AG24" s="10">
        <f t="shared" si="4"/>
        <v>0</v>
      </c>
    </row>
    <row r="25" spans="1:41" x14ac:dyDescent="0.3">
      <c r="A25" s="6">
        <v>14</v>
      </c>
      <c r="B25" s="47">
        <v>8</v>
      </c>
      <c r="C25" s="53" t="s">
        <v>70</v>
      </c>
      <c r="D25" s="4"/>
      <c r="E25" s="4"/>
      <c r="F25" s="59"/>
      <c r="G25" s="88"/>
      <c r="H25" s="88"/>
      <c r="I25" s="88"/>
      <c r="J25" s="88"/>
      <c r="K25" s="88"/>
      <c r="L25" s="88"/>
      <c r="M25" s="4"/>
      <c r="N25" s="4"/>
      <c r="O25" s="4"/>
      <c r="P25" s="4"/>
      <c r="Q25" s="59"/>
      <c r="R25" s="4"/>
      <c r="S25" s="4"/>
      <c r="T25" s="4"/>
      <c r="U25" s="4"/>
      <c r="V25" s="4"/>
      <c r="W25" s="59"/>
      <c r="X25" s="4"/>
      <c r="Y25" s="4"/>
      <c r="Z25" s="4"/>
      <c r="AA25" s="4"/>
      <c r="AB25" s="1"/>
      <c r="AC25" s="4">
        <f t="shared" si="0"/>
        <v>0</v>
      </c>
      <c r="AD25" s="4">
        <f t="shared" si="1"/>
        <v>0</v>
      </c>
      <c r="AE25" s="4">
        <f t="shared" si="2"/>
        <v>0</v>
      </c>
      <c r="AF25" s="4">
        <f t="shared" si="3"/>
        <v>0</v>
      </c>
      <c r="AG25" s="10">
        <f t="shared" si="4"/>
        <v>0</v>
      </c>
    </row>
    <row r="26" spans="1:41" x14ac:dyDescent="0.3">
      <c r="A26" s="6">
        <v>15</v>
      </c>
      <c r="B26" s="47">
        <v>8</v>
      </c>
      <c r="C26" s="53" t="s">
        <v>71</v>
      </c>
      <c r="D26" s="4"/>
      <c r="E26" s="4"/>
      <c r="F26" s="59"/>
      <c r="G26" s="88"/>
      <c r="H26" s="88"/>
      <c r="I26" s="88"/>
      <c r="J26" s="88"/>
      <c r="K26" s="88"/>
      <c r="L26" s="88"/>
      <c r="M26" s="4"/>
      <c r="N26" s="4"/>
      <c r="O26" s="4"/>
      <c r="P26" s="4"/>
      <c r="Q26" s="59"/>
      <c r="R26" s="4"/>
      <c r="S26" s="4"/>
      <c r="T26" s="4"/>
      <c r="U26" s="4"/>
      <c r="V26" s="4"/>
      <c r="W26" s="59"/>
      <c r="X26" s="4"/>
      <c r="Y26" s="4"/>
      <c r="Z26" s="4"/>
      <c r="AA26" s="4"/>
      <c r="AB26" s="1"/>
      <c r="AC26" s="4">
        <f t="shared" si="0"/>
        <v>0</v>
      </c>
      <c r="AD26" s="4">
        <f t="shared" si="1"/>
        <v>0</v>
      </c>
      <c r="AE26" s="4">
        <f t="shared" si="2"/>
        <v>0</v>
      </c>
      <c r="AF26" s="4">
        <f t="shared" si="3"/>
        <v>0</v>
      </c>
      <c r="AG26" s="10">
        <f t="shared" si="4"/>
        <v>0</v>
      </c>
    </row>
    <row r="27" spans="1:41" x14ac:dyDescent="0.3">
      <c r="A27" s="6">
        <v>16</v>
      </c>
      <c r="B27" s="54">
        <v>9</v>
      </c>
      <c r="C27" s="53" t="s">
        <v>72</v>
      </c>
      <c r="D27" s="4"/>
      <c r="E27" s="4"/>
      <c r="F27" s="59"/>
      <c r="G27" s="88"/>
      <c r="H27" s="88"/>
      <c r="I27" s="88"/>
      <c r="J27" s="88"/>
      <c r="K27" s="88"/>
      <c r="L27" s="88"/>
      <c r="M27" s="4"/>
      <c r="N27" s="4"/>
      <c r="O27" s="4"/>
      <c r="P27" s="4"/>
      <c r="Q27" s="59"/>
      <c r="R27" s="4"/>
      <c r="S27" s="4"/>
      <c r="T27" s="4"/>
      <c r="U27" s="4"/>
      <c r="V27" s="4"/>
      <c r="W27" s="59"/>
      <c r="X27" s="4"/>
      <c r="Y27" s="4"/>
      <c r="Z27" s="4"/>
      <c r="AA27" s="4"/>
      <c r="AB27" s="1"/>
      <c r="AC27" s="4">
        <f t="shared" si="0"/>
        <v>0</v>
      </c>
      <c r="AD27" s="4">
        <f t="shared" si="1"/>
        <v>0</v>
      </c>
      <c r="AE27" s="4">
        <f t="shared" si="2"/>
        <v>0</v>
      </c>
      <c r="AF27" s="4">
        <f t="shared" si="3"/>
        <v>0</v>
      </c>
      <c r="AG27" s="10">
        <f t="shared" si="4"/>
        <v>0</v>
      </c>
    </row>
    <row r="28" spans="1:41" x14ac:dyDescent="0.3">
      <c r="A28" s="6">
        <v>17</v>
      </c>
      <c r="B28" s="54">
        <v>9</v>
      </c>
      <c r="C28" s="53" t="s">
        <v>73</v>
      </c>
      <c r="D28" s="4"/>
      <c r="E28" s="4"/>
      <c r="F28" s="59"/>
      <c r="G28" s="88"/>
      <c r="H28" s="88"/>
      <c r="I28" s="88"/>
      <c r="J28" s="88"/>
      <c r="K28" s="88"/>
      <c r="L28" s="88"/>
      <c r="M28" s="4"/>
      <c r="N28" s="4"/>
      <c r="O28" s="4"/>
      <c r="P28" s="4"/>
      <c r="Q28" s="59"/>
      <c r="R28" s="4"/>
      <c r="S28" s="4"/>
      <c r="T28" s="4"/>
      <c r="U28" s="4"/>
      <c r="V28" s="4"/>
      <c r="W28" s="59"/>
      <c r="X28" s="4"/>
      <c r="Y28" s="4"/>
      <c r="Z28" s="4"/>
      <c r="AA28" s="4"/>
      <c r="AB28" s="1"/>
      <c r="AC28" s="4">
        <f t="shared" si="0"/>
        <v>0</v>
      </c>
      <c r="AD28" s="4">
        <f t="shared" si="1"/>
        <v>0</v>
      </c>
      <c r="AE28" s="4">
        <f t="shared" si="2"/>
        <v>0</v>
      </c>
      <c r="AF28" s="4">
        <f t="shared" si="3"/>
        <v>0</v>
      </c>
      <c r="AG28" s="10">
        <f t="shared" si="4"/>
        <v>0</v>
      </c>
    </row>
    <row r="29" spans="1:41" x14ac:dyDescent="0.3">
      <c r="A29" s="6">
        <v>18</v>
      </c>
      <c r="B29" s="54">
        <v>9</v>
      </c>
      <c r="C29" s="53" t="s">
        <v>74</v>
      </c>
      <c r="D29" s="4"/>
      <c r="E29" s="4"/>
      <c r="F29" s="59"/>
      <c r="G29" s="88"/>
      <c r="H29" s="88"/>
      <c r="I29" s="88"/>
      <c r="J29" s="88"/>
      <c r="K29" s="88"/>
      <c r="L29" s="88"/>
      <c r="M29" s="4"/>
      <c r="N29" s="4"/>
      <c r="O29" s="4"/>
      <c r="P29" s="4"/>
      <c r="Q29" s="59"/>
      <c r="R29" s="4"/>
      <c r="S29" s="4"/>
      <c r="T29" s="4"/>
      <c r="U29" s="4"/>
      <c r="V29" s="4"/>
      <c r="W29" s="59"/>
      <c r="X29" s="4"/>
      <c r="Y29" s="4"/>
      <c r="Z29" s="4"/>
      <c r="AA29" s="4"/>
      <c r="AB29" s="1"/>
      <c r="AC29" s="4">
        <f t="shared" si="0"/>
        <v>0</v>
      </c>
      <c r="AD29" s="4">
        <f t="shared" si="1"/>
        <v>0</v>
      </c>
      <c r="AE29" s="4">
        <f t="shared" si="2"/>
        <v>0</v>
      </c>
      <c r="AF29" s="4">
        <f t="shared" si="3"/>
        <v>0</v>
      </c>
      <c r="AG29" s="10">
        <f t="shared" si="4"/>
        <v>0</v>
      </c>
    </row>
    <row r="30" spans="1:41" x14ac:dyDescent="0.3">
      <c r="A30" s="6">
        <v>19</v>
      </c>
      <c r="B30" s="54">
        <v>9</v>
      </c>
      <c r="C30" s="53" t="s">
        <v>75</v>
      </c>
      <c r="D30" s="4"/>
      <c r="E30" s="4"/>
      <c r="F30" s="59"/>
      <c r="G30" s="88"/>
      <c r="H30" s="88"/>
      <c r="I30" s="88"/>
      <c r="J30" s="88"/>
      <c r="K30" s="88"/>
      <c r="L30" s="88"/>
      <c r="M30" s="4"/>
      <c r="N30" s="4"/>
      <c r="O30" s="4"/>
      <c r="P30" s="4"/>
      <c r="Q30" s="59"/>
      <c r="R30" s="4"/>
      <c r="S30" s="4"/>
      <c r="T30" s="4"/>
      <c r="U30" s="4"/>
      <c r="V30" s="4"/>
      <c r="W30" s="59"/>
      <c r="X30" s="4"/>
      <c r="Y30" s="4"/>
      <c r="Z30" s="4"/>
      <c r="AA30" s="4"/>
      <c r="AB30" s="1"/>
      <c r="AC30" s="4">
        <f t="shared" si="0"/>
        <v>0</v>
      </c>
      <c r="AD30" s="4">
        <f t="shared" si="1"/>
        <v>0</v>
      </c>
      <c r="AE30" s="4">
        <f t="shared" si="2"/>
        <v>0</v>
      </c>
      <c r="AF30" s="4">
        <f t="shared" si="3"/>
        <v>0</v>
      </c>
      <c r="AG30" s="10">
        <f t="shared" si="4"/>
        <v>0</v>
      </c>
    </row>
    <row r="31" spans="1:41" x14ac:dyDescent="0.3">
      <c r="A31" s="6">
        <v>20</v>
      </c>
      <c r="B31" s="54">
        <v>9</v>
      </c>
      <c r="C31" s="53" t="s">
        <v>76</v>
      </c>
      <c r="D31" s="4"/>
      <c r="E31" s="4"/>
      <c r="F31" s="59"/>
      <c r="G31" s="88"/>
      <c r="H31" s="88"/>
      <c r="I31" s="88"/>
      <c r="J31" s="88"/>
      <c r="K31" s="88"/>
      <c r="L31" s="88"/>
      <c r="M31" s="4"/>
      <c r="N31" s="4"/>
      <c r="O31" s="4"/>
      <c r="P31" s="4"/>
      <c r="Q31" s="59"/>
      <c r="R31" s="4"/>
      <c r="S31" s="4"/>
      <c r="T31" s="4"/>
      <c r="U31" s="4"/>
      <c r="V31" s="4"/>
      <c r="W31" s="59"/>
      <c r="X31" s="4"/>
      <c r="Y31" s="4"/>
      <c r="Z31" s="4"/>
      <c r="AA31" s="4"/>
      <c r="AB31" s="1"/>
      <c r="AC31" s="4">
        <f t="shared" si="0"/>
        <v>0</v>
      </c>
      <c r="AD31" s="4">
        <f t="shared" si="1"/>
        <v>0</v>
      </c>
      <c r="AE31" s="4">
        <f t="shared" si="2"/>
        <v>0</v>
      </c>
      <c r="AF31" s="4">
        <f t="shared" si="3"/>
        <v>0</v>
      </c>
      <c r="AG31" s="10">
        <f t="shared" si="4"/>
        <v>0</v>
      </c>
    </row>
    <row r="32" spans="1:41" x14ac:dyDescent="0.3">
      <c r="A32" s="6">
        <v>21</v>
      </c>
      <c r="B32" s="54">
        <v>10</v>
      </c>
      <c r="C32" s="53" t="s">
        <v>77</v>
      </c>
      <c r="D32" s="4"/>
      <c r="E32" s="4"/>
      <c r="F32" s="59"/>
      <c r="G32" s="88"/>
      <c r="H32" s="88"/>
      <c r="I32" s="88"/>
      <c r="J32" s="88"/>
      <c r="K32" s="88"/>
      <c r="L32" s="88"/>
      <c r="M32" s="4"/>
      <c r="N32" s="4"/>
      <c r="O32" s="4"/>
      <c r="P32" s="4"/>
      <c r="Q32" s="59"/>
      <c r="R32" s="4"/>
      <c r="S32" s="4"/>
      <c r="T32" s="4"/>
      <c r="U32" s="4"/>
      <c r="V32" s="4"/>
      <c r="W32" s="59"/>
      <c r="X32" s="4"/>
      <c r="Y32" s="4"/>
      <c r="Z32" s="4"/>
      <c r="AA32" s="4"/>
      <c r="AB32" s="1"/>
      <c r="AC32" s="4">
        <f t="shared" si="0"/>
        <v>0</v>
      </c>
      <c r="AD32" s="4">
        <f t="shared" si="1"/>
        <v>0</v>
      </c>
      <c r="AE32" s="4">
        <f t="shared" si="2"/>
        <v>0</v>
      </c>
      <c r="AF32" s="4">
        <f t="shared" si="3"/>
        <v>0</v>
      </c>
      <c r="AG32" s="10">
        <f t="shared" si="4"/>
        <v>0</v>
      </c>
    </row>
    <row r="33" spans="1:33" x14ac:dyDescent="0.3">
      <c r="A33" s="6">
        <v>22</v>
      </c>
      <c r="B33" s="54">
        <v>10</v>
      </c>
      <c r="C33" s="53" t="s">
        <v>78</v>
      </c>
      <c r="D33" s="4"/>
      <c r="E33" s="4"/>
      <c r="F33" s="59"/>
      <c r="G33" s="88"/>
      <c r="H33" s="88"/>
      <c r="I33" s="88"/>
      <c r="J33" s="88"/>
      <c r="K33" s="88"/>
      <c r="L33" s="88"/>
      <c r="M33" s="4"/>
      <c r="N33" s="4"/>
      <c r="O33" s="4"/>
      <c r="P33" s="4"/>
      <c r="Q33" s="59"/>
      <c r="R33" s="4"/>
      <c r="S33" s="4"/>
      <c r="T33" s="4"/>
      <c r="U33" s="4"/>
      <c r="V33" s="4"/>
      <c r="W33" s="59"/>
      <c r="X33" s="4"/>
      <c r="Y33" s="4"/>
      <c r="Z33" s="4"/>
      <c r="AA33" s="4"/>
      <c r="AB33" s="1"/>
      <c r="AC33" s="4">
        <f t="shared" si="0"/>
        <v>0</v>
      </c>
      <c r="AD33" s="4">
        <f t="shared" si="1"/>
        <v>0</v>
      </c>
      <c r="AE33" s="4">
        <f t="shared" si="2"/>
        <v>0</v>
      </c>
      <c r="AF33" s="4">
        <f t="shared" si="3"/>
        <v>0</v>
      </c>
      <c r="AG33" s="10">
        <f t="shared" si="4"/>
        <v>0</v>
      </c>
    </row>
    <row r="34" spans="1:33" x14ac:dyDescent="0.3">
      <c r="A34" s="6">
        <v>23</v>
      </c>
      <c r="B34" s="54">
        <v>10</v>
      </c>
      <c r="C34" s="53" t="s">
        <v>79</v>
      </c>
      <c r="D34" s="4"/>
      <c r="E34" s="4"/>
      <c r="F34" s="59"/>
      <c r="G34" s="88"/>
      <c r="H34" s="88"/>
      <c r="I34" s="88"/>
      <c r="J34" s="88"/>
      <c r="K34" s="88"/>
      <c r="L34" s="88"/>
      <c r="M34" s="4"/>
      <c r="N34" s="4"/>
      <c r="O34" s="4"/>
      <c r="P34" s="4"/>
      <c r="Q34" s="59"/>
      <c r="R34" s="4"/>
      <c r="S34" s="4"/>
      <c r="T34" s="4"/>
      <c r="U34" s="4"/>
      <c r="V34" s="4"/>
      <c r="W34" s="59"/>
      <c r="X34" s="4"/>
      <c r="Y34" s="4"/>
      <c r="Z34" s="4"/>
      <c r="AA34" s="4"/>
      <c r="AB34" s="1"/>
      <c r="AC34" s="4">
        <f t="shared" si="0"/>
        <v>0</v>
      </c>
      <c r="AD34" s="4">
        <f t="shared" si="1"/>
        <v>0</v>
      </c>
      <c r="AE34" s="4">
        <f t="shared" si="2"/>
        <v>0</v>
      </c>
      <c r="AF34" s="4">
        <f t="shared" si="3"/>
        <v>0</v>
      </c>
      <c r="AG34" s="10">
        <f t="shared" si="4"/>
        <v>0</v>
      </c>
    </row>
    <row r="35" spans="1:33" x14ac:dyDescent="0.3">
      <c r="A35" s="6">
        <v>24</v>
      </c>
      <c r="B35" s="54">
        <v>10</v>
      </c>
      <c r="C35" s="53" t="s">
        <v>80</v>
      </c>
      <c r="D35" s="4"/>
      <c r="E35" s="4"/>
      <c r="F35" s="59"/>
      <c r="G35" s="88"/>
      <c r="H35" s="88"/>
      <c r="I35" s="88"/>
      <c r="J35" s="88"/>
      <c r="K35" s="88"/>
      <c r="L35" s="88"/>
      <c r="M35" s="4"/>
      <c r="N35" s="4"/>
      <c r="O35" s="4"/>
      <c r="P35" s="4"/>
      <c r="Q35" s="59"/>
      <c r="R35" s="4"/>
      <c r="S35" s="4"/>
      <c r="T35" s="4"/>
      <c r="U35" s="4"/>
      <c r="V35" s="4"/>
      <c r="W35" s="59"/>
      <c r="X35" s="4"/>
      <c r="Y35" s="4"/>
      <c r="Z35" s="4"/>
      <c r="AA35" s="4"/>
      <c r="AB35" s="1"/>
      <c r="AC35" s="4">
        <f t="shared" si="0"/>
        <v>0</v>
      </c>
      <c r="AD35" s="4">
        <f t="shared" si="1"/>
        <v>0</v>
      </c>
      <c r="AE35" s="4">
        <f t="shared" si="2"/>
        <v>0</v>
      </c>
      <c r="AF35" s="4">
        <f t="shared" si="3"/>
        <v>0</v>
      </c>
      <c r="AG35" s="10">
        <f t="shared" si="4"/>
        <v>0</v>
      </c>
    </row>
    <row r="36" spans="1:33" x14ac:dyDescent="0.3">
      <c r="A36" s="6">
        <v>25</v>
      </c>
      <c r="B36" s="54">
        <v>10</v>
      </c>
      <c r="C36" s="53" t="s">
        <v>81</v>
      </c>
      <c r="D36" s="4"/>
      <c r="E36" s="4"/>
      <c r="F36" s="59"/>
      <c r="G36" s="88"/>
      <c r="H36" s="88"/>
      <c r="I36" s="88"/>
      <c r="J36" s="88"/>
      <c r="K36" s="88"/>
      <c r="L36" s="88"/>
      <c r="M36" s="4"/>
      <c r="N36" s="4"/>
      <c r="O36" s="4"/>
      <c r="P36" s="4"/>
      <c r="Q36" s="59"/>
      <c r="R36" s="4"/>
      <c r="S36" s="4"/>
      <c r="T36" s="4"/>
      <c r="U36" s="4"/>
      <c r="V36" s="4"/>
      <c r="W36" s="59"/>
      <c r="X36" s="4"/>
      <c r="Y36" s="4"/>
      <c r="Z36" s="4"/>
      <c r="AA36" s="4"/>
      <c r="AB36" s="1"/>
      <c r="AC36" s="4">
        <f t="shared" si="0"/>
        <v>0</v>
      </c>
      <c r="AD36" s="4">
        <f t="shared" si="1"/>
        <v>0</v>
      </c>
      <c r="AE36" s="4">
        <f t="shared" si="2"/>
        <v>0</v>
      </c>
      <c r="AF36" s="4">
        <f t="shared" si="3"/>
        <v>0</v>
      </c>
      <c r="AG36" s="10">
        <f t="shared" si="4"/>
        <v>0</v>
      </c>
    </row>
    <row r="37" spans="1:33" x14ac:dyDescent="0.3">
      <c r="A37" s="6">
        <v>26</v>
      </c>
      <c r="B37" s="54">
        <v>10</v>
      </c>
      <c r="C37" s="53" t="s">
        <v>82</v>
      </c>
      <c r="D37" s="4"/>
      <c r="E37" s="4"/>
      <c r="F37" s="59"/>
      <c r="G37" s="88"/>
      <c r="H37" s="88"/>
      <c r="I37" s="88"/>
      <c r="J37" s="88"/>
      <c r="K37" s="88"/>
      <c r="L37" s="88"/>
      <c r="M37" s="4"/>
      <c r="N37" s="4"/>
      <c r="O37" s="4"/>
      <c r="P37" s="4"/>
      <c r="Q37" s="59"/>
      <c r="R37" s="4"/>
      <c r="S37" s="4"/>
      <c r="T37" s="4"/>
      <c r="U37" s="4"/>
      <c r="V37" s="4"/>
      <c r="W37" s="59"/>
      <c r="X37" s="4"/>
      <c r="Y37" s="4"/>
      <c r="Z37" s="4"/>
      <c r="AA37" s="4"/>
      <c r="AB37" s="1"/>
      <c r="AC37" s="4">
        <f t="shared" ref="AC37:AC39" si="5">COUNTIF(D37:Y37,1)</f>
        <v>0</v>
      </c>
      <c r="AD37" s="4">
        <f t="shared" ref="AD37:AD39" si="6">COUNTIF(D37:Y37,0)</f>
        <v>0</v>
      </c>
      <c r="AE37" s="4">
        <f t="shared" ref="AE37:AE39" si="7">COUNTIF(D37:Y37,"T")</f>
        <v>0</v>
      </c>
      <c r="AF37" s="4">
        <f t="shared" ref="AF37:AF39" si="8">COUNTIF(D37:Y37,"J")</f>
        <v>0</v>
      </c>
      <c r="AG37" s="10">
        <f t="shared" ref="AG37:AG39" si="9">SUM(AC37+AE37)/16</f>
        <v>0</v>
      </c>
    </row>
    <row r="38" spans="1:33" x14ac:dyDescent="0.3">
      <c r="A38" s="6">
        <v>27</v>
      </c>
      <c r="B38" s="54">
        <v>10</v>
      </c>
      <c r="C38" s="53" t="s">
        <v>83</v>
      </c>
      <c r="D38" s="4"/>
      <c r="E38" s="4"/>
      <c r="F38" s="59"/>
      <c r="G38" s="88"/>
      <c r="H38" s="88"/>
      <c r="I38" s="88"/>
      <c r="J38" s="88"/>
      <c r="K38" s="88"/>
      <c r="L38" s="88"/>
      <c r="M38" s="4"/>
      <c r="N38" s="4"/>
      <c r="O38" s="4"/>
      <c r="P38" s="4"/>
      <c r="Q38" s="59"/>
      <c r="R38" s="4"/>
      <c r="S38" s="4"/>
      <c r="T38" s="4"/>
      <c r="U38" s="4"/>
      <c r="V38" s="4"/>
      <c r="W38" s="59"/>
      <c r="X38" s="4"/>
      <c r="Y38" s="4"/>
      <c r="Z38" s="4"/>
      <c r="AA38" s="4"/>
      <c r="AB38" s="1"/>
      <c r="AC38" s="4">
        <f t="shared" si="5"/>
        <v>0</v>
      </c>
      <c r="AD38" s="4">
        <f t="shared" si="6"/>
        <v>0</v>
      </c>
      <c r="AE38" s="4">
        <f t="shared" si="7"/>
        <v>0</v>
      </c>
      <c r="AF38" s="4">
        <f t="shared" si="8"/>
        <v>0</v>
      </c>
      <c r="AG38" s="10">
        <f t="shared" si="9"/>
        <v>0</v>
      </c>
    </row>
    <row r="39" spans="1:33" x14ac:dyDescent="0.3">
      <c r="A39" s="6">
        <v>28</v>
      </c>
      <c r="B39" s="54">
        <v>11</v>
      </c>
      <c r="C39" s="53" t="s">
        <v>84</v>
      </c>
      <c r="D39" s="4"/>
      <c r="E39" s="4"/>
      <c r="F39" s="59"/>
      <c r="G39" s="88"/>
      <c r="H39" s="88"/>
      <c r="I39" s="88"/>
      <c r="J39" s="88"/>
      <c r="K39" s="88"/>
      <c r="L39" s="88"/>
      <c r="M39" s="4"/>
      <c r="N39" s="4"/>
      <c r="O39" s="4"/>
      <c r="P39" s="4"/>
      <c r="Q39" s="59"/>
      <c r="R39" s="4"/>
      <c r="S39" s="4"/>
      <c r="T39" s="4"/>
      <c r="U39" s="4"/>
      <c r="V39" s="4"/>
      <c r="W39" s="59"/>
      <c r="X39" s="4"/>
      <c r="Y39" s="4"/>
      <c r="Z39" s="4"/>
      <c r="AA39" s="4"/>
      <c r="AB39" s="1"/>
      <c r="AC39" s="4">
        <f t="shared" si="5"/>
        <v>0</v>
      </c>
      <c r="AD39" s="4">
        <f t="shared" si="6"/>
        <v>0</v>
      </c>
      <c r="AE39" s="4">
        <f t="shared" si="7"/>
        <v>0</v>
      </c>
      <c r="AF39" s="4">
        <f t="shared" si="8"/>
        <v>0</v>
      </c>
      <c r="AG39" s="10">
        <f t="shared" si="9"/>
        <v>0</v>
      </c>
    </row>
  </sheetData>
  <mergeCells count="26">
    <mergeCell ref="A10:B10"/>
    <mergeCell ref="C10:J10"/>
    <mergeCell ref="K10:S10"/>
    <mergeCell ref="T10:Z10"/>
    <mergeCell ref="AA10:AB10"/>
    <mergeCell ref="K9:S9"/>
    <mergeCell ref="Y9:AD9"/>
    <mergeCell ref="C2:Z6"/>
    <mergeCell ref="C7:Z7"/>
    <mergeCell ref="AJ11:AQ11"/>
    <mergeCell ref="AC10:AD10"/>
    <mergeCell ref="AE1:AG10"/>
    <mergeCell ref="A8:AD8"/>
    <mergeCell ref="A9:B9"/>
    <mergeCell ref="C9:G9"/>
    <mergeCell ref="H9:J9"/>
    <mergeCell ref="A1:B7"/>
    <mergeCell ref="C1:AD1"/>
    <mergeCell ref="AA2:AD3"/>
    <mergeCell ref="AA4:AD5"/>
    <mergeCell ref="AA6:AD7"/>
    <mergeCell ref="F11:F39"/>
    <mergeCell ref="G12:K39"/>
    <mergeCell ref="L11:L39"/>
    <mergeCell ref="Q11:Q39"/>
    <mergeCell ref="W11:W39"/>
  </mergeCells>
  <conditionalFormatting sqref="F11 G12 M12:P23 R12:V23 X12:AA23 E13:E23">
    <cfRule type="cellIs" dxfId="5" priority="2" operator="equal">
      <formula>"T"</formula>
    </cfRule>
  </conditionalFormatting>
  <conditionalFormatting sqref="F11 L11 Q11 W11 D12:E39 G12 M12:P39 R12:V39 X12:AB39">
    <cfRule type="cellIs" dxfId="4" priority="1" stopIfTrue="1" operator="equal">
      <formula>"T"</formula>
    </cfRule>
    <cfRule type="cellIs" dxfId="3" priority="8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6FC6A3DB-6CE2-49DF-9636-6BCBB4140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Q11 F11 L11 W11 D12:E39 G12 M12:P39 R12:V39 X12:AB39</xm:sqref>
        </x14:conditionalFormatting>
        <x14:conditionalFormatting xmlns:xm="http://schemas.microsoft.com/office/excel/2006/main">
          <x14:cfRule type="iconSet" priority="6" id="{EFF1FA69-780A-4714-B85E-C28E23569F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R12:V12 G12 E13:E23 F11 M12:P12 X12:AA12</xm:sqref>
        </x14:conditionalFormatting>
        <x14:conditionalFormatting xmlns:xm="http://schemas.microsoft.com/office/excel/2006/main">
          <x14:cfRule type="iconSet" priority="5" id="{340B7E2C-150D-4439-8353-268323825B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E13:E15 D40:AB63 D24:E39 M24:P39 R24:V39 X24:AA39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E9BC-063F-4041-A35B-430C2F3F6AB2}">
  <sheetPr codeName="Hoja11"/>
  <dimension ref="A1:AN39"/>
  <sheetViews>
    <sheetView tabSelected="1" topLeftCell="A5" zoomScale="90" zoomScaleNormal="90" workbookViewId="0">
      <selection activeCell="AG11" sqref="AG11:AN16"/>
    </sheetView>
  </sheetViews>
  <sheetFormatPr baseColWidth="10" defaultColWidth="5.33203125" defaultRowHeight="14.4" x14ac:dyDescent="0.3"/>
  <cols>
    <col min="1" max="1" width="3.21875" bestFit="1" customWidth="1"/>
    <col min="2" max="2" width="8.88671875" style="5" customWidth="1"/>
    <col min="3" max="3" width="41.109375" style="13" bestFit="1" customWidth="1"/>
    <col min="4" max="6" width="3.33203125" customWidth="1"/>
    <col min="7" max="7" width="3" customWidth="1"/>
    <col min="8" max="8" width="3.88671875" customWidth="1"/>
    <col min="9" max="12" width="3.21875" bestFit="1" customWidth="1"/>
    <col min="13" max="25" width="3.21875" customWidth="1"/>
    <col min="26" max="26" width="11.77734375" customWidth="1"/>
    <col min="27" max="27" width="7.33203125" bestFit="1" customWidth="1"/>
    <col min="28" max="28" width="7" bestFit="1" customWidth="1"/>
    <col min="29" max="29" width="14.77734375" bestFit="1" customWidth="1"/>
    <col min="30" max="30" width="13.77734375" bestFit="1" customWidth="1"/>
  </cols>
  <sheetData>
    <row r="1" spans="1:40" x14ac:dyDescent="0.3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4"/>
    </row>
    <row r="2" spans="1:40" x14ac:dyDescent="0.3">
      <c r="A2" s="26"/>
      <c r="B2" s="27"/>
      <c r="C2" s="70" t="e" vm="1">
        <v>#VALUE!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83" t="s">
        <v>15</v>
      </c>
      <c r="AB2" s="83"/>
      <c r="AC2" s="83"/>
      <c r="AD2" s="74"/>
    </row>
    <row r="3" spans="1:40" x14ac:dyDescent="0.3">
      <c r="A3" s="28"/>
      <c r="B3" s="29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84"/>
      <c r="AB3" s="84"/>
      <c r="AC3" s="84"/>
      <c r="AD3" s="66"/>
    </row>
    <row r="4" spans="1:40" x14ac:dyDescent="0.3">
      <c r="A4" s="30"/>
      <c r="B4" s="31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85" t="s">
        <v>17</v>
      </c>
      <c r="AB4" s="85"/>
      <c r="AC4" s="85"/>
      <c r="AD4" s="66"/>
    </row>
    <row r="5" spans="1:40" x14ac:dyDescent="0.3">
      <c r="A5" s="30"/>
      <c r="B5" s="31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85"/>
      <c r="AB5" s="85"/>
      <c r="AC5" s="85"/>
      <c r="AD5" s="66"/>
    </row>
    <row r="6" spans="1:40" x14ac:dyDescent="0.3">
      <c r="A6" s="30"/>
      <c r="B6" s="31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85" t="s">
        <v>16</v>
      </c>
      <c r="AB6" s="85"/>
      <c r="AC6" s="85"/>
      <c r="AD6" s="66"/>
    </row>
    <row r="7" spans="1:40" x14ac:dyDescent="0.3">
      <c r="A7" s="32"/>
      <c r="B7" s="33"/>
      <c r="C7" s="87" t="s">
        <v>18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6"/>
      <c r="AB7" s="86"/>
      <c r="AC7" s="86"/>
      <c r="AD7" s="62"/>
    </row>
    <row r="8" spans="1:40" x14ac:dyDescent="0.3">
      <c r="A8" s="58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4"/>
    </row>
    <row r="9" spans="1:40" x14ac:dyDescent="0.3">
      <c r="A9" s="71" t="s">
        <v>19</v>
      </c>
      <c r="B9" s="71"/>
      <c r="C9" s="63"/>
      <c r="D9" s="63"/>
      <c r="E9" s="63"/>
      <c r="F9" s="63"/>
      <c r="G9" s="63"/>
      <c r="H9" s="71" t="s">
        <v>20</v>
      </c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1" t="s">
        <v>21</v>
      </c>
      <c r="U9" s="1"/>
      <c r="V9" s="1"/>
      <c r="W9" s="1"/>
      <c r="X9" s="1"/>
      <c r="Y9" s="63"/>
      <c r="Z9" s="63"/>
      <c r="AA9" s="63"/>
      <c r="AB9" s="63"/>
      <c r="AC9" s="63"/>
      <c r="AD9" s="63"/>
    </row>
    <row r="10" spans="1:40" ht="15" thickBot="1" x14ac:dyDescent="0.35">
      <c r="A10" s="63" t="s">
        <v>20</v>
      </c>
      <c r="B10" s="63"/>
      <c r="C10" s="63"/>
      <c r="D10" s="63"/>
      <c r="E10" s="63"/>
      <c r="F10" s="63"/>
      <c r="G10" s="63"/>
      <c r="H10" s="63"/>
      <c r="I10" s="63"/>
      <c r="J10" s="63"/>
      <c r="K10" s="63" t="s">
        <v>23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 t="s">
        <v>22</v>
      </c>
      <c r="AB10" s="63"/>
      <c r="AC10" s="63"/>
      <c r="AD10" s="63"/>
    </row>
    <row r="11" spans="1:40" s="3" customFormat="1" x14ac:dyDescent="0.3">
      <c r="A11" s="6" t="s">
        <v>8</v>
      </c>
      <c r="B11" s="2" t="s">
        <v>7</v>
      </c>
      <c r="C11" s="11" t="s">
        <v>0</v>
      </c>
      <c r="D11" s="1">
        <v>3</v>
      </c>
      <c r="E11" s="1">
        <v>4</v>
      </c>
      <c r="F11" s="1">
        <v>5</v>
      </c>
      <c r="G11" s="1">
        <v>6</v>
      </c>
      <c r="H11" s="58"/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58"/>
      <c r="O11" s="1">
        <v>17</v>
      </c>
      <c r="P11" s="1">
        <v>18</v>
      </c>
      <c r="Q11" s="1">
        <v>19</v>
      </c>
      <c r="R11" s="1">
        <v>20</v>
      </c>
      <c r="S11" s="58"/>
      <c r="T11" s="1">
        <v>23</v>
      </c>
      <c r="U11" s="1">
        <v>24</v>
      </c>
      <c r="V11" s="1">
        <v>25</v>
      </c>
      <c r="W11" s="1">
        <v>26</v>
      </c>
      <c r="X11" s="1">
        <v>27</v>
      </c>
      <c r="Y11" s="58"/>
      <c r="Z11" s="1" t="s">
        <v>1</v>
      </c>
      <c r="AA11" s="1" t="s">
        <v>2</v>
      </c>
      <c r="AB11" s="1" t="s">
        <v>3</v>
      </c>
      <c r="AC11" s="1" t="s">
        <v>4</v>
      </c>
      <c r="AD11" s="1" t="s">
        <v>5</v>
      </c>
      <c r="AG11" s="55" t="s">
        <v>9</v>
      </c>
      <c r="AH11" s="56"/>
      <c r="AI11" s="56"/>
      <c r="AJ11" s="56"/>
      <c r="AK11" s="56"/>
      <c r="AL11" s="56"/>
      <c r="AM11" s="56"/>
      <c r="AN11" s="57"/>
    </row>
    <row r="12" spans="1:40" s="3" customFormat="1" x14ac:dyDescent="0.3">
      <c r="A12" s="6">
        <v>1</v>
      </c>
      <c r="B12" s="47">
        <v>6</v>
      </c>
      <c r="C12" s="53" t="s">
        <v>57</v>
      </c>
      <c r="D12" s="1"/>
      <c r="E12" s="1"/>
      <c r="F12" s="1"/>
      <c r="G12" s="1"/>
      <c r="H12" s="59"/>
      <c r="I12" s="1"/>
      <c r="J12" s="1"/>
      <c r="K12" s="1"/>
      <c r="L12" s="1"/>
      <c r="M12" s="1"/>
      <c r="N12" s="59"/>
      <c r="O12" s="1"/>
      <c r="P12" s="1"/>
      <c r="Q12" s="1"/>
      <c r="R12" s="1"/>
      <c r="S12" s="59"/>
      <c r="T12" s="1"/>
      <c r="U12" s="1"/>
      <c r="V12" s="1"/>
      <c r="W12" s="1"/>
      <c r="X12" s="1"/>
      <c r="Y12" s="59"/>
      <c r="Z12" s="4">
        <f t="shared" ref="Z12:Z36" si="0">COUNTIF(D12:Y12,1)</f>
        <v>0</v>
      </c>
      <c r="AA12" s="4">
        <f t="shared" ref="AA12:AA36" si="1">COUNTIF(D12:Y12,0)</f>
        <v>0</v>
      </c>
      <c r="AB12" s="4">
        <f t="shared" ref="AB12:AB36" si="2">COUNTIF(D12:Y12,"T")</f>
        <v>0</v>
      </c>
      <c r="AC12" s="4">
        <f t="shared" ref="AC12:AC36" si="3">COUNTIF(D12:Y12,"J")</f>
        <v>0</v>
      </c>
      <c r="AD12" s="10">
        <f>SUM(Z12+AB12)/18</f>
        <v>0</v>
      </c>
      <c r="AG12" s="17"/>
      <c r="AH12" s="14">
        <v>1</v>
      </c>
      <c r="AI12" s="3" t="s">
        <v>10</v>
      </c>
      <c r="AJ12" s="8"/>
      <c r="AK12" s="8"/>
      <c r="AN12" s="18"/>
    </row>
    <row r="13" spans="1:40" s="3" customFormat="1" x14ac:dyDescent="0.3">
      <c r="A13" s="6">
        <v>2</v>
      </c>
      <c r="B13" s="47">
        <v>6</v>
      </c>
      <c r="C13" s="53" t="s">
        <v>58</v>
      </c>
      <c r="D13" s="1"/>
      <c r="E13" s="1"/>
      <c r="F13" s="1"/>
      <c r="G13" s="4"/>
      <c r="H13" s="59"/>
      <c r="I13" s="1"/>
      <c r="J13" s="1"/>
      <c r="K13" s="1"/>
      <c r="L13" s="1"/>
      <c r="M13" s="1"/>
      <c r="N13" s="59"/>
      <c r="O13" s="1"/>
      <c r="P13" s="1"/>
      <c r="Q13" s="1"/>
      <c r="R13" s="1"/>
      <c r="S13" s="59"/>
      <c r="T13" s="1"/>
      <c r="U13" s="1"/>
      <c r="V13" s="1"/>
      <c r="W13" s="1"/>
      <c r="X13" s="1"/>
      <c r="Y13" s="59"/>
      <c r="Z13" s="4">
        <f t="shared" si="0"/>
        <v>0</v>
      </c>
      <c r="AA13" s="4">
        <f t="shared" si="1"/>
        <v>0</v>
      </c>
      <c r="AB13" s="4">
        <f t="shared" si="2"/>
        <v>0</v>
      </c>
      <c r="AC13" s="4">
        <f t="shared" si="3"/>
        <v>0</v>
      </c>
      <c r="AD13" s="10">
        <f t="shared" ref="AD13:AD36" si="4">SUM(Z13+AB13)/18</f>
        <v>0</v>
      </c>
      <c r="AG13" s="17"/>
      <c r="AH13" s="15">
        <v>0</v>
      </c>
      <c r="AI13" s="3" t="s">
        <v>14</v>
      </c>
      <c r="AN13" s="18"/>
    </row>
    <row r="14" spans="1:40" s="3" customFormat="1" x14ac:dyDescent="0.3">
      <c r="A14" s="6">
        <v>3</v>
      </c>
      <c r="B14" s="47">
        <v>6</v>
      </c>
      <c r="C14" s="53" t="s">
        <v>59</v>
      </c>
      <c r="D14" s="1"/>
      <c r="E14" s="1"/>
      <c r="F14" s="1"/>
      <c r="G14" s="4"/>
      <c r="H14" s="59"/>
      <c r="I14" s="1"/>
      <c r="J14" s="1"/>
      <c r="K14" s="1"/>
      <c r="L14" s="1"/>
      <c r="M14" s="1"/>
      <c r="N14" s="59"/>
      <c r="O14" s="1"/>
      <c r="P14" s="1"/>
      <c r="Q14" s="1"/>
      <c r="R14" s="1"/>
      <c r="S14" s="59"/>
      <c r="T14" s="1"/>
      <c r="U14" s="1"/>
      <c r="V14" s="1"/>
      <c r="W14" s="1"/>
      <c r="X14" s="1"/>
      <c r="Y14" s="59"/>
      <c r="Z14" s="4">
        <f t="shared" si="0"/>
        <v>0</v>
      </c>
      <c r="AA14" s="4">
        <f t="shared" si="1"/>
        <v>0</v>
      </c>
      <c r="AB14" s="4">
        <f t="shared" si="2"/>
        <v>0</v>
      </c>
      <c r="AC14" s="4">
        <f t="shared" si="3"/>
        <v>0</v>
      </c>
      <c r="AD14" s="10">
        <f t="shared" si="4"/>
        <v>0</v>
      </c>
      <c r="AG14" s="17"/>
      <c r="AH14" s="16" t="s">
        <v>11</v>
      </c>
      <c r="AI14" s="3" t="s">
        <v>12</v>
      </c>
      <c r="AN14" s="18"/>
    </row>
    <row r="15" spans="1:40" ht="15" thickBot="1" x14ac:dyDescent="0.35">
      <c r="A15" s="6">
        <v>4</v>
      </c>
      <c r="B15" s="47">
        <v>7</v>
      </c>
      <c r="C15" s="53" t="s">
        <v>60</v>
      </c>
      <c r="D15" s="1"/>
      <c r="E15" s="1"/>
      <c r="F15" s="1"/>
      <c r="G15" s="4"/>
      <c r="H15" s="59"/>
      <c r="I15" s="1"/>
      <c r="J15" s="1"/>
      <c r="K15" s="1"/>
      <c r="L15" s="1"/>
      <c r="M15" s="1"/>
      <c r="N15" s="59"/>
      <c r="O15" s="1"/>
      <c r="P15" s="1"/>
      <c r="Q15" s="1"/>
      <c r="R15" s="1"/>
      <c r="S15" s="59"/>
      <c r="T15" s="1"/>
      <c r="U15" s="1"/>
      <c r="V15" s="1"/>
      <c r="W15" s="1"/>
      <c r="X15" s="1"/>
      <c r="Y15" s="59"/>
      <c r="Z15" s="4">
        <f t="shared" si="0"/>
        <v>0</v>
      </c>
      <c r="AA15" s="4">
        <f t="shared" si="1"/>
        <v>0</v>
      </c>
      <c r="AB15" s="4">
        <f t="shared" si="2"/>
        <v>0</v>
      </c>
      <c r="AC15" s="4">
        <f t="shared" si="3"/>
        <v>0</v>
      </c>
      <c r="AD15" s="10">
        <f t="shared" si="4"/>
        <v>0</v>
      </c>
      <c r="AG15" s="19"/>
      <c r="AH15" s="20" t="s">
        <v>6</v>
      </c>
      <c r="AI15" s="21" t="s">
        <v>13</v>
      </c>
      <c r="AJ15" s="22"/>
      <c r="AK15" s="22"/>
      <c r="AL15" s="22"/>
      <c r="AM15" s="22"/>
      <c r="AN15" s="23"/>
    </row>
    <row r="16" spans="1:40" x14ac:dyDescent="0.3">
      <c r="A16" s="6">
        <v>5</v>
      </c>
      <c r="B16" s="47">
        <v>7</v>
      </c>
      <c r="C16" s="53" t="s">
        <v>61</v>
      </c>
      <c r="D16" s="1"/>
      <c r="E16" s="1"/>
      <c r="F16" s="1"/>
      <c r="G16" s="1"/>
      <c r="H16" s="59"/>
      <c r="I16" s="1"/>
      <c r="J16" s="1"/>
      <c r="K16" s="1"/>
      <c r="L16" s="1"/>
      <c r="M16" s="1"/>
      <c r="N16" s="59"/>
      <c r="O16" s="1"/>
      <c r="P16" s="1"/>
      <c r="Q16" s="1"/>
      <c r="R16" s="1"/>
      <c r="S16" s="59"/>
      <c r="T16" s="1"/>
      <c r="U16" s="1"/>
      <c r="V16" s="1"/>
      <c r="W16" s="1"/>
      <c r="X16" s="1"/>
      <c r="Y16" s="59"/>
      <c r="Z16" s="4">
        <f t="shared" si="0"/>
        <v>0</v>
      </c>
      <c r="AA16" s="4">
        <f t="shared" si="1"/>
        <v>0</v>
      </c>
      <c r="AB16" s="4">
        <f t="shared" si="2"/>
        <v>0</v>
      </c>
      <c r="AC16" s="4">
        <f t="shared" si="3"/>
        <v>0</v>
      </c>
      <c r="AD16" s="10">
        <f t="shared" si="4"/>
        <v>0</v>
      </c>
      <c r="AH16" t="s">
        <v>50</v>
      </c>
      <c r="AI16" s="3" t="s">
        <v>51</v>
      </c>
    </row>
    <row r="17" spans="1:38" x14ac:dyDescent="0.3">
      <c r="A17" s="6">
        <v>6</v>
      </c>
      <c r="B17" s="47">
        <v>7</v>
      </c>
      <c r="C17" s="53" t="s">
        <v>62</v>
      </c>
      <c r="D17" s="1"/>
      <c r="E17" s="1"/>
      <c r="F17" s="1"/>
      <c r="G17" s="1"/>
      <c r="H17" s="59"/>
      <c r="I17" s="1"/>
      <c r="J17" s="1"/>
      <c r="K17" s="1"/>
      <c r="L17" s="1"/>
      <c r="M17" s="1"/>
      <c r="N17" s="59"/>
      <c r="O17" s="1"/>
      <c r="P17" s="1"/>
      <c r="Q17" s="1"/>
      <c r="R17" s="1"/>
      <c r="S17" s="59"/>
      <c r="T17" s="1"/>
      <c r="U17" s="1"/>
      <c r="V17" s="1"/>
      <c r="W17" s="1"/>
      <c r="X17" s="1"/>
      <c r="Y17" s="59"/>
      <c r="Z17" s="4">
        <f t="shared" si="0"/>
        <v>0</v>
      </c>
      <c r="AA17" s="4">
        <f t="shared" si="1"/>
        <v>0</v>
      </c>
      <c r="AB17" s="4">
        <f t="shared" si="2"/>
        <v>0</v>
      </c>
      <c r="AC17" s="4">
        <f t="shared" si="3"/>
        <v>0</v>
      </c>
      <c r="AD17" s="10">
        <f t="shared" si="4"/>
        <v>0</v>
      </c>
    </row>
    <row r="18" spans="1:38" x14ac:dyDescent="0.3">
      <c r="A18" s="6">
        <v>7</v>
      </c>
      <c r="B18" s="47">
        <v>7</v>
      </c>
      <c r="C18" s="53" t="s">
        <v>63</v>
      </c>
      <c r="D18" s="1"/>
      <c r="E18" s="1"/>
      <c r="F18" s="1"/>
      <c r="G18" s="1"/>
      <c r="H18" s="59"/>
      <c r="I18" s="1"/>
      <c r="J18" s="1"/>
      <c r="K18" s="1"/>
      <c r="L18" s="1"/>
      <c r="M18" s="1"/>
      <c r="N18" s="59"/>
      <c r="O18" s="1"/>
      <c r="P18" s="1"/>
      <c r="Q18" s="1"/>
      <c r="R18" s="1"/>
      <c r="S18" s="59"/>
      <c r="T18" s="1"/>
      <c r="U18" s="1"/>
      <c r="V18" s="1"/>
      <c r="W18" s="1"/>
      <c r="X18" s="1"/>
      <c r="Y18" s="59"/>
      <c r="Z18" s="4">
        <f t="shared" si="0"/>
        <v>0</v>
      </c>
      <c r="AA18" s="4">
        <f t="shared" si="1"/>
        <v>0</v>
      </c>
      <c r="AB18" s="4">
        <f t="shared" si="2"/>
        <v>0</v>
      </c>
      <c r="AC18" s="4">
        <f t="shared" si="3"/>
        <v>0</v>
      </c>
      <c r="AD18" s="10">
        <f t="shared" si="4"/>
        <v>0</v>
      </c>
      <c r="AI18" s="8"/>
      <c r="AK18" s="3"/>
      <c r="AL18" s="3"/>
    </row>
    <row r="19" spans="1:38" x14ac:dyDescent="0.3">
      <c r="A19" s="6">
        <v>8</v>
      </c>
      <c r="B19" s="47">
        <v>7</v>
      </c>
      <c r="C19" s="53" t="s">
        <v>64</v>
      </c>
      <c r="D19" s="1"/>
      <c r="E19" s="1"/>
      <c r="F19" s="1"/>
      <c r="G19" s="1"/>
      <c r="H19" s="59"/>
      <c r="I19" s="1"/>
      <c r="J19" s="1"/>
      <c r="K19" s="1"/>
      <c r="L19" s="1"/>
      <c r="M19" s="1"/>
      <c r="N19" s="59"/>
      <c r="O19" s="1"/>
      <c r="P19" s="1"/>
      <c r="Q19" s="1"/>
      <c r="R19" s="1"/>
      <c r="S19" s="59"/>
      <c r="T19" s="1"/>
      <c r="U19" s="1"/>
      <c r="V19" s="1"/>
      <c r="W19" s="1"/>
      <c r="X19" s="1"/>
      <c r="Y19" s="59"/>
      <c r="Z19" s="4">
        <f t="shared" si="0"/>
        <v>0</v>
      </c>
      <c r="AA19" s="4">
        <f t="shared" si="1"/>
        <v>0</v>
      </c>
      <c r="AB19" s="4">
        <f t="shared" si="2"/>
        <v>0</v>
      </c>
      <c r="AC19" s="4">
        <f t="shared" si="3"/>
        <v>0</v>
      </c>
      <c r="AD19" s="10">
        <f t="shared" si="4"/>
        <v>0</v>
      </c>
      <c r="AI19" s="8"/>
    </row>
    <row r="20" spans="1:38" x14ac:dyDescent="0.3">
      <c r="A20" s="6">
        <v>9</v>
      </c>
      <c r="B20" s="47">
        <v>7</v>
      </c>
      <c r="C20" s="53" t="s">
        <v>65</v>
      </c>
      <c r="D20" s="1"/>
      <c r="E20" s="1"/>
      <c r="F20" s="1"/>
      <c r="G20" s="1"/>
      <c r="H20" s="59"/>
      <c r="I20" s="1"/>
      <c r="J20" s="1"/>
      <c r="K20" s="1"/>
      <c r="L20" s="1"/>
      <c r="M20" s="1"/>
      <c r="N20" s="59"/>
      <c r="O20" s="1"/>
      <c r="P20" s="1"/>
      <c r="Q20" s="1"/>
      <c r="R20" s="1"/>
      <c r="S20" s="59"/>
      <c r="T20" s="1"/>
      <c r="U20" s="1"/>
      <c r="V20" s="1"/>
      <c r="W20" s="1"/>
      <c r="X20" s="1"/>
      <c r="Y20" s="59"/>
      <c r="Z20" s="4">
        <f t="shared" si="0"/>
        <v>0</v>
      </c>
      <c r="AA20" s="4">
        <f t="shared" si="1"/>
        <v>0</v>
      </c>
      <c r="AB20" s="4">
        <f t="shared" si="2"/>
        <v>0</v>
      </c>
      <c r="AC20" s="4">
        <f t="shared" si="3"/>
        <v>0</v>
      </c>
      <c r="AD20" s="10">
        <f t="shared" si="4"/>
        <v>0</v>
      </c>
      <c r="AI20" s="8"/>
      <c r="AJ20" s="3"/>
      <c r="AK20" s="3"/>
      <c r="AL20" s="3"/>
    </row>
    <row r="21" spans="1:38" x14ac:dyDescent="0.3">
      <c r="A21" s="6">
        <v>10</v>
      </c>
      <c r="B21" s="47">
        <v>7</v>
      </c>
      <c r="C21" s="53" t="s">
        <v>66</v>
      </c>
      <c r="D21" s="1"/>
      <c r="E21" s="1"/>
      <c r="F21" s="1"/>
      <c r="G21" s="1"/>
      <c r="H21" s="59"/>
      <c r="I21" s="1"/>
      <c r="J21" s="1"/>
      <c r="K21" s="1"/>
      <c r="L21" s="1"/>
      <c r="M21" s="1"/>
      <c r="N21" s="59"/>
      <c r="O21" s="1"/>
      <c r="P21" s="1"/>
      <c r="Q21" s="1"/>
      <c r="R21" s="1"/>
      <c r="S21" s="59"/>
      <c r="T21" s="1"/>
      <c r="U21" s="1"/>
      <c r="V21" s="1"/>
      <c r="W21" s="1"/>
      <c r="X21" s="1"/>
      <c r="Y21" s="59"/>
      <c r="Z21" s="4">
        <f t="shared" si="0"/>
        <v>0</v>
      </c>
      <c r="AA21" s="4">
        <f t="shared" si="1"/>
        <v>0</v>
      </c>
      <c r="AB21" s="4">
        <f t="shared" si="2"/>
        <v>0</v>
      </c>
      <c r="AC21" s="4">
        <f t="shared" si="3"/>
        <v>0</v>
      </c>
      <c r="AD21" s="10">
        <f t="shared" si="4"/>
        <v>0</v>
      </c>
      <c r="AI21" s="7"/>
    </row>
    <row r="22" spans="1:38" x14ac:dyDescent="0.3">
      <c r="A22" s="6">
        <v>11</v>
      </c>
      <c r="B22" s="47">
        <v>8</v>
      </c>
      <c r="C22" s="53" t="s">
        <v>67</v>
      </c>
      <c r="D22" s="1"/>
      <c r="E22" s="1"/>
      <c r="F22" s="1"/>
      <c r="G22" s="1"/>
      <c r="H22" s="59"/>
      <c r="I22" s="1"/>
      <c r="J22" s="1"/>
      <c r="K22" s="1"/>
      <c r="L22" s="1"/>
      <c r="M22" s="1"/>
      <c r="N22" s="59"/>
      <c r="O22" s="1"/>
      <c r="P22" s="1"/>
      <c r="Q22" s="1"/>
      <c r="R22" s="1"/>
      <c r="S22" s="59"/>
      <c r="T22" s="1"/>
      <c r="U22" s="1"/>
      <c r="V22" s="1"/>
      <c r="W22" s="1"/>
      <c r="X22" s="1"/>
      <c r="Y22" s="59"/>
      <c r="Z22" s="4">
        <f t="shared" si="0"/>
        <v>0</v>
      </c>
      <c r="AA22" s="4">
        <f t="shared" si="1"/>
        <v>0</v>
      </c>
      <c r="AB22" s="4">
        <f t="shared" si="2"/>
        <v>0</v>
      </c>
      <c r="AC22" s="4">
        <f t="shared" si="3"/>
        <v>0</v>
      </c>
      <c r="AD22" s="10">
        <f t="shared" si="4"/>
        <v>0</v>
      </c>
    </row>
    <row r="23" spans="1:38" x14ac:dyDescent="0.3">
      <c r="A23" s="6">
        <v>12</v>
      </c>
      <c r="B23" s="47">
        <v>8</v>
      </c>
      <c r="C23" s="53" t="s">
        <v>68</v>
      </c>
      <c r="D23" s="1"/>
      <c r="E23" s="1"/>
      <c r="F23" s="1"/>
      <c r="G23" s="1"/>
      <c r="H23" s="59"/>
      <c r="I23" s="1"/>
      <c r="J23" s="1"/>
      <c r="K23" s="1"/>
      <c r="L23" s="1"/>
      <c r="M23" s="1"/>
      <c r="N23" s="59"/>
      <c r="O23" s="1"/>
      <c r="P23" s="1"/>
      <c r="Q23" s="1"/>
      <c r="R23" s="1"/>
      <c r="S23" s="59"/>
      <c r="T23" s="1"/>
      <c r="U23" s="1"/>
      <c r="V23" s="1"/>
      <c r="W23" s="1"/>
      <c r="X23" s="1"/>
      <c r="Y23" s="59"/>
      <c r="Z23" s="4">
        <f t="shared" si="0"/>
        <v>0</v>
      </c>
      <c r="AA23" s="4">
        <f t="shared" si="1"/>
        <v>0</v>
      </c>
      <c r="AB23" s="4">
        <f t="shared" si="2"/>
        <v>0</v>
      </c>
      <c r="AC23" s="4">
        <f t="shared" si="3"/>
        <v>0</v>
      </c>
      <c r="AD23" s="10">
        <f t="shared" si="4"/>
        <v>0</v>
      </c>
    </row>
    <row r="24" spans="1:38" x14ac:dyDescent="0.3">
      <c r="A24" s="6">
        <v>13</v>
      </c>
      <c r="B24" s="47">
        <v>8</v>
      </c>
      <c r="C24" s="53" t="s">
        <v>69</v>
      </c>
      <c r="D24" s="4"/>
      <c r="E24" s="4"/>
      <c r="F24" s="4"/>
      <c r="G24" s="4"/>
      <c r="H24" s="59"/>
      <c r="I24" s="1"/>
      <c r="J24" s="1"/>
      <c r="K24" s="1"/>
      <c r="L24" s="1"/>
      <c r="M24" s="1"/>
      <c r="N24" s="59"/>
      <c r="O24" s="4"/>
      <c r="P24" s="4"/>
      <c r="Q24" s="4"/>
      <c r="R24" s="4"/>
      <c r="S24" s="59"/>
      <c r="T24" s="4"/>
      <c r="U24" s="4"/>
      <c r="V24" s="4"/>
      <c r="W24" s="4"/>
      <c r="X24" s="4"/>
      <c r="Y24" s="59"/>
      <c r="Z24" s="4">
        <f t="shared" si="0"/>
        <v>0</v>
      </c>
      <c r="AA24" s="4">
        <f t="shared" si="1"/>
        <v>0</v>
      </c>
      <c r="AB24" s="4">
        <f t="shared" si="2"/>
        <v>0</v>
      </c>
      <c r="AC24" s="4">
        <f t="shared" si="3"/>
        <v>0</v>
      </c>
      <c r="AD24" s="10">
        <f t="shared" si="4"/>
        <v>0</v>
      </c>
    </row>
    <row r="25" spans="1:38" x14ac:dyDescent="0.3">
      <c r="A25" s="6">
        <v>14</v>
      </c>
      <c r="B25" s="47">
        <v>8</v>
      </c>
      <c r="C25" s="53" t="s">
        <v>70</v>
      </c>
      <c r="D25" s="4"/>
      <c r="E25" s="4"/>
      <c r="F25" s="4"/>
      <c r="G25" s="4"/>
      <c r="H25" s="59"/>
      <c r="I25" s="1"/>
      <c r="J25" s="1"/>
      <c r="K25" s="1"/>
      <c r="L25" s="1"/>
      <c r="M25" s="1"/>
      <c r="N25" s="59"/>
      <c r="O25" s="4"/>
      <c r="P25" s="4"/>
      <c r="Q25" s="4"/>
      <c r="R25" s="4"/>
      <c r="S25" s="59"/>
      <c r="T25" s="4"/>
      <c r="U25" s="4"/>
      <c r="V25" s="4"/>
      <c r="W25" s="4"/>
      <c r="X25" s="4"/>
      <c r="Y25" s="59"/>
      <c r="Z25" s="4">
        <f t="shared" si="0"/>
        <v>0</v>
      </c>
      <c r="AA25" s="4">
        <f t="shared" si="1"/>
        <v>0</v>
      </c>
      <c r="AB25" s="4">
        <f t="shared" si="2"/>
        <v>0</v>
      </c>
      <c r="AC25" s="4">
        <f t="shared" si="3"/>
        <v>0</v>
      </c>
      <c r="AD25" s="10">
        <f t="shared" si="4"/>
        <v>0</v>
      </c>
    </row>
    <row r="26" spans="1:38" x14ac:dyDescent="0.3">
      <c r="A26" s="6">
        <v>15</v>
      </c>
      <c r="B26" s="47">
        <v>8</v>
      </c>
      <c r="C26" s="53" t="s">
        <v>71</v>
      </c>
      <c r="D26" s="4"/>
      <c r="E26" s="4"/>
      <c r="F26" s="4"/>
      <c r="G26" s="4"/>
      <c r="H26" s="59"/>
      <c r="I26" s="1"/>
      <c r="J26" s="1"/>
      <c r="K26" s="1"/>
      <c r="L26" s="1"/>
      <c r="M26" s="1"/>
      <c r="N26" s="59"/>
      <c r="O26" s="4"/>
      <c r="P26" s="4"/>
      <c r="Q26" s="4"/>
      <c r="R26" s="4"/>
      <c r="S26" s="59"/>
      <c r="T26" s="4"/>
      <c r="U26" s="4"/>
      <c r="V26" s="4"/>
      <c r="W26" s="4"/>
      <c r="X26" s="4"/>
      <c r="Y26" s="59"/>
      <c r="Z26" s="4">
        <f t="shared" si="0"/>
        <v>0</v>
      </c>
      <c r="AA26" s="4">
        <f t="shared" si="1"/>
        <v>0</v>
      </c>
      <c r="AB26" s="4">
        <f t="shared" si="2"/>
        <v>0</v>
      </c>
      <c r="AC26" s="4">
        <f t="shared" si="3"/>
        <v>0</v>
      </c>
      <c r="AD26" s="10">
        <f t="shared" si="4"/>
        <v>0</v>
      </c>
    </row>
    <row r="27" spans="1:38" x14ac:dyDescent="0.3">
      <c r="A27" s="6">
        <v>16</v>
      </c>
      <c r="B27" s="54">
        <v>9</v>
      </c>
      <c r="C27" s="53" t="s">
        <v>72</v>
      </c>
      <c r="D27" s="4"/>
      <c r="E27" s="4"/>
      <c r="F27" s="4"/>
      <c r="G27" s="4"/>
      <c r="H27" s="59"/>
      <c r="I27" s="1"/>
      <c r="J27" s="1"/>
      <c r="K27" s="1"/>
      <c r="L27" s="1"/>
      <c r="M27" s="1"/>
      <c r="N27" s="59"/>
      <c r="O27" s="4"/>
      <c r="P27" s="4"/>
      <c r="Q27" s="4"/>
      <c r="R27" s="4"/>
      <c r="S27" s="59"/>
      <c r="T27" s="4"/>
      <c r="U27" s="4"/>
      <c r="V27" s="4"/>
      <c r="W27" s="4"/>
      <c r="X27" s="4"/>
      <c r="Y27" s="59"/>
      <c r="Z27" s="4">
        <f t="shared" si="0"/>
        <v>0</v>
      </c>
      <c r="AA27" s="4">
        <f t="shared" si="1"/>
        <v>0</v>
      </c>
      <c r="AB27" s="4">
        <f t="shared" si="2"/>
        <v>0</v>
      </c>
      <c r="AC27" s="4">
        <f t="shared" si="3"/>
        <v>0</v>
      </c>
      <c r="AD27" s="10">
        <f t="shared" si="4"/>
        <v>0</v>
      </c>
    </row>
    <row r="28" spans="1:38" x14ac:dyDescent="0.3">
      <c r="A28" s="6">
        <v>17</v>
      </c>
      <c r="B28" s="54">
        <v>9</v>
      </c>
      <c r="C28" s="53" t="s">
        <v>73</v>
      </c>
      <c r="D28" s="4"/>
      <c r="E28" s="4"/>
      <c r="F28" s="4"/>
      <c r="G28" s="4"/>
      <c r="H28" s="59"/>
      <c r="I28" s="1"/>
      <c r="J28" s="1"/>
      <c r="K28" s="1"/>
      <c r="L28" s="1"/>
      <c r="M28" s="1"/>
      <c r="N28" s="59"/>
      <c r="O28" s="4"/>
      <c r="P28" s="4"/>
      <c r="Q28" s="4"/>
      <c r="R28" s="4"/>
      <c r="S28" s="59"/>
      <c r="T28" s="4"/>
      <c r="U28" s="4"/>
      <c r="V28" s="4"/>
      <c r="W28" s="4"/>
      <c r="X28" s="4"/>
      <c r="Y28" s="59"/>
      <c r="Z28" s="4">
        <f t="shared" si="0"/>
        <v>0</v>
      </c>
      <c r="AA28" s="4">
        <f t="shared" si="1"/>
        <v>0</v>
      </c>
      <c r="AB28" s="4">
        <f t="shared" si="2"/>
        <v>0</v>
      </c>
      <c r="AC28" s="4">
        <f t="shared" si="3"/>
        <v>0</v>
      </c>
      <c r="AD28" s="10">
        <f t="shared" si="4"/>
        <v>0</v>
      </c>
    </row>
    <row r="29" spans="1:38" x14ac:dyDescent="0.3">
      <c r="A29" s="6">
        <v>18</v>
      </c>
      <c r="B29" s="54">
        <v>9</v>
      </c>
      <c r="C29" s="53" t="s">
        <v>74</v>
      </c>
      <c r="D29" s="4"/>
      <c r="E29" s="4"/>
      <c r="F29" s="4"/>
      <c r="G29" s="4"/>
      <c r="H29" s="59"/>
      <c r="I29" s="1"/>
      <c r="J29" s="1"/>
      <c r="K29" s="1"/>
      <c r="L29" s="1"/>
      <c r="M29" s="1"/>
      <c r="N29" s="59"/>
      <c r="O29" s="4"/>
      <c r="P29" s="4"/>
      <c r="Q29" s="4"/>
      <c r="R29" s="4"/>
      <c r="S29" s="59"/>
      <c r="T29" s="4"/>
      <c r="U29" s="4"/>
      <c r="V29" s="4"/>
      <c r="W29" s="4"/>
      <c r="X29" s="4"/>
      <c r="Y29" s="59"/>
      <c r="Z29" s="4">
        <f t="shared" si="0"/>
        <v>0</v>
      </c>
      <c r="AA29" s="4">
        <f t="shared" si="1"/>
        <v>0</v>
      </c>
      <c r="AB29" s="4">
        <f t="shared" si="2"/>
        <v>0</v>
      </c>
      <c r="AC29" s="4">
        <f t="shared" si="3"/>
        <v>0</v>
      </c>
      <c r="AD29" s="10">
        <f t="shared" si="4"/>
        <v>0</v>
      </c>
    </row>
    <row r="30" spans="1:38" x14ac:dyDescent="0.3">
      <c r="A30" s="6">
        <v>19</v>
      </c>
      <c r="B30" s="54">
        <v>9</v>
      </c>
      <c r="C30" s="53" t="s">
        <v>75</v>
      </c>
      <c r="D30" s="4"/>
      <c r="E30" s="4"/>
      <c r="F30" s="4"/>
      <c r="G30" s="4"/>
      <c r="H30" s="59"/>
      <c r="I30" s="1"/>
      <c r="J30" s="1"/>
      <c r="K30" s="1"/>
      <c r="L30" s="1"/>
      <c r="M30" s="1"/>
      <c r="N30" s="59"/>
      <c r="O30" s="4"/>
      <c r="P30" s="4"/>
      <c r="Q30" s="4"/>
      <c r="R30" s="4"/>
      <c r="S30" s="59"/>
      <c r="T30" s="4"/>
      <c r="U30" s="4"/>
      <c r="V30" s="4"/>
      <c r="W30" s="4"/>
      <c r="X30" s="4"/>
      <c r="Y30" s="59"/>
      <c r="Z30" s="4">
        <f t="shared" si="0"/>
        <v>0</v>
      </c>
      <c r="AA30" s="4">
        <f t="shared" si="1"/>
        <v>0</v>
      </c>
      <c r="AB30" s="4">
        <f t="shared" si="2"/>
        <v>0</v>
      </c>
      <c r="AC30" s="4">
        <f t="shared" si="3"/>
        <v>0</v>
      </c>
      <c r="AD30" s="10">
        <f t="shared" si="4"/>
        <v>0</v>
      </c>
    </row>
    <row r="31" spans="1:38" x14ac:dyDescent="0.3">
      <c r="A31" s="6">
        <v>20</v>
      </c>
      <c r="B31" s="54">
        <v>9</v>
      </c>
      <c r="C31" s="53" t="s">
        <v>76</v>
      </c>
      <c r="D31" s="4"/>
      <c r="E31" s="4"/>
      <c r="F31" s="4"/>
      <c r="G31" s="4"/>
      <c r="H31" s="59"/>
      <c r="I31" s="1"/>
      <c r="J31" s="1"/>
      <c r="K31" s="1"/>
      <c r="L31" s="1"/>
      <c r="M31" s="1"/>
      <c r="N31" s="59"/>
      <c r="O31" s="4"/>
      <c r="P31" s="4"/>
      <c r="Q31" s="4"/>
      <c r="R31" s="4"/>
      <c r="S31" s="59"/>
      <c r="T31" s="4"/>
      <c r="U31" s="4"/>
      <c r="V31" s="4"/>
      <c r="W31" s="4"/>
      <c r="X31" s="4"/>
      <c r="Y31" s="59"/>
      <c r="Z31" s="4">
        <f t="shared" si="0"/>
        <v>0</v>
      </c>
      <c r="AA31" s="4">
        <f t="shared" si="1"/>
        <v>0</v>
      </c>
      <c r="AB31" s="4">
        <f t="shared" si="2"/>
        <v>0</v>
      </c>
      <c r="AC31" s="4">
        <f t="shared" si="3"/>
        <v>0</v>
      </c>
      <c r="AD31" s="10">
        <f t="shared" si="4"/>
        <v>0</v>
      </c>
    </row>
    <row r="32" spans="1:38" x14ac:dyDescent="0.3">
      <c r="A32" s="6">
        <v>21</v>
      </c>
      <c r="B32" s="54">
        <v>10</v>
      </c>
      <c r="C32" s="53" t="s">
        <v>77</v>
      </c>
      <c r="D32" s="4"/>
      <c r="E32" s="4"/>
      <c r="F32" s="4"/>
      <c r="G32" s="4"/>
      <c r="H32" s="59"/>
      <c r="I32" s="1"/>
      <c r="J32" s="1"/>
      <c r="K32" s="1"/>
      <c r="L32" s="1"/>
      <c r="M32" s="1"/>
      <c r="N32" s="59"/>
      <c r="O32" s="4"/>
      <c r="P32" s="4"/>
      <c r="Q32" s="4"/>
      <c r="R32" s="4"/>
      <c r="S32" s="59"/>
      <c r="T32" s="4"/>
      <c r="U32" s="4"/>
      <c r="V32" s="4"/>
      <c r="W32" s="4"/>
      <c r="X32" s="4"/>
      <c r="Y32" s="59"/>
      <c r="Z32" s="4">
        <f t="shared" si="0"/>
        <v>0</v>
      </c>
      <c r="AA32" s="4">
        <f t="shared" si="1"/>
        <v>0</v>
      </c>
      <c r="AB32" s="4">
        <f t="shared" si="2"/>
        <v>0</v>
      </c>
      <c r="AC32" s="4">
        <f t="shared" si="3"/>
        <v>0</v>
      </c>
      <c r="AD32" s="10">
        <f t="shared" si="4"/>
        <v>0</v>
      </c>
    </row>
    <row r="33" spans="1:30" x14ac:dyDescent="0.3">
      <c r="A33" s="6">
        <v>22</v>
      </c>
      <c r="B33" s="54">
        <v>10</v>
      </c>
      <c r="C33" s="53" t="s">
        <v>78</v>
      </c>
      <c r="D33" s="4"/>
      <c r="E33" s="4"/>
      <c r="F33" s="4"/>
      <c r="G33" s="4"/>
      <c r="H33" s="59"/>
      <c r="I33" s="1"/>
      <c r="J33" s="1"/>
      <c r="K33" s="1"/>
      <c r="L33" s="1"/>
      <c r="M33" s="1"/>
      <c r="N33" s="59"/>
      <c r="O33" s="4"/>
      <c r="P33" s="4"/>
      <c r="Q33" s="4"/>
      <c r="R33" s="4"/>
      <c r="S33" s="59"/>
      <c r="T33" s="4"/>
      <c r="U33" s="4"/>
      <c r="V33" s="4"/>
      <c r="W33" s="4"/>
      <c r="X33" s="4"/>
      <c r="Y33" s="59"/>
      <c r="Z33" s="4">
        <f t="shared" si="0"/>
        <v>0</v>
      </c>
      <c r="AA33" s="4">
        <f t="shared" si="1"/>
        <v>0</v>
      </c>
      <c r="AB33" s="4">
        <f t="shared" si="2"/>
        <v>0</v>
      </c>
      <c r="AC33" s="4">
        <f t="shared" si="3"/>
        <v>0</v>
      </c>
      <c r="AD33" s="10">
        <f t="shared" si="4"/>
        <v>0</v>
      </c>
    </row>
    <row r="34" spans="1:30" x14ac:dyDescent="0.3">
      <c r="A34" s="6">
        <v>23</v>
      </c>
      <c r="B34" s="54">
        <v>10</v>
      </c>
      <c r="C34" s="53" t="s">
        <v>79</v>
      </c>
      <c r="D34" s="4"/>
      <c r="E34" s="4"/>
      <c r="F34" s="4"/>
      <c r="G34" s="4"/>
      <c r="H34" s="59"/>
      <c r="I34" s="1"/>
      <c r="J34" s="1"/>
      <c r="K34" s="1"/>
      <c r="L34" s="1"/>
      <c r="M34" s="1"/>
      <c r="N34" s="59"/>
      <c r="O34" s="4"/>
      <c r="P34" s="4"/>
      <c r="Q34" s="4"/>
      <c r="R34" s="4"/>
      <c r="S34" s="59"/>
      <c r="T34" s="4"/>
      <c r="U34" s="4"/>
      <c r="V34" s="4"/>
      <c r="W34" s="4"/>
      <c r="X34" s="4"/>
      <c r="Y34" s="59"/>
      <c r="Z34" s="4">
        <f t="shared" si="0"/>
        <v>0</v>
      </c>
      <c r="AA34" s="4">
        <f t="shared" si="1"/>
        <v>0</v>
      </c>
      <c r="AB34" s="4">
        <f t="shared" si="2"/>
        <v>0</v>
      </c>
      <c r="AC34" s="4">
        <f t="shared" si="3"/>
        <v>0</v>
      </c>
      <c r="AD34" s="10">
        <f t="shared" si="4"/>
        <v>0</v>
      </c>
    </row>
    <row r="35" spans="1:30" x14ac:dyDescent="0.3">
      <c r="A35" s="6">
        <v>24</v>
      </c>
      <c r="B35" s="54">
        <v>10</v>
      </c>
      <c r="C35" s="53" t="s">
        <v>80</v>
      </c>
      <c r="D35" s="4"/>
      <c r="E35" s="4"/>
      <c r="F35" s="4"/>
      <c r="G35" s="4"/>
      <c r="H35" s="59"/>
      <c r="I35" s="1"/>
      <c r="J35" s="1"/>
      <c r="K35" s="1"/>
      <c r="L35" s="1"/>
      <c r="M35" s="1"/>
      <c r="N35" s="59"/>
      <c r="O35" s="4"/>
      <c r="P35" s="4"/>
      <c r="Q35" s="4"/>
      <c r="R35" s="4"/>
      <c r="S35" s="59"/>
      <c r="T35" s="4"/>
      <c r="U35" s="4"/>
      <c r="V35" s="4"/>
      <c r="W35" s="4"/>
      <c r="X35" s="4"/>
      <c r="Y35" s="59"/>
      <c r="Z35" s="4">
        <f t="shared" si="0"/>
        <v>0</v>
      </c>
      <c r="AA35" s="4">
        <f t="shared" si="1"/>
        <v>0</v>
      </c>
      <c r="AB35" s="4">
        <f t="shared" si="2"/>
        <v>0</v>
      </c>
      <c r="AC35" s="4">
        <f t="shared" si="3"/>
        <v>0</v>
      </c>
      <c r="AD35" s="10">
        <f t="shared" si="4"/>
        <v>0</v>
      </c>
    </row>
    <row r="36" spans="1:30" x14ac:dyDescent="0.3">
      <c r="A36" s="6">
        <v>25</v>
      </c>
      <c r="B36" s="54">
        <v>10</v>
      </c>
      <c r="C36" s="53" t="s">
        <v>81</v>
      </c>
      <c r="D36" s="4"/>
      <c r="E36" s="4"/>
      <c r="F36" s="4"/>
      <c r="G36" s="4"/>
      <c r="H36" s="59"/>
      <c r="I36" s="1"/>
      <c r="J36" s="1"/>
      <c r="K36" s="1"/>
      <c r="L36" s="1"/>
      <c r="M36" s="1"/>
      <c r="N36" s="59"/>
      <c r="O36" s="4"/>
      <c r="P36" s="4"/>
      <c r="Q36" s="4"/>
      <c r="R36" s="4"/>
      <c r="S36" s="59"/>
      <c r="T36" s="4"/>
      <c r="U36" s="4"/>
      <c r="V36" s="4"/>
      <c r="W36" s="4"/>
      <c r="X36" s="4"/>
      <c r="Y36" s="59"/>
      <c r="Z36" s="4">
        <f t="shared" si="0"/>
        <v>0</v>
      </c>
      <c r="AA36" s="4">
        <f t="shared" si="1"/>
        <v>0</v>
      </c>
      <c r="AB36" s="4">
        <f t="shared" si="2"/>
        <v>0</v>
      </c>
      <c r="AC36" s="4">
        <f t="shared" si="3"/>
        <v>0</v>
      </c>
      <c r="AD36" s="10">
        <f t="shared" si="4"/>
        <v>0</v>
      </c>
    </row>
    <row r="37" spans="1:30" x14ac:dyDescent="0.3">
      <c r="A37" s="6">
        <v>26</v>
      </c>
      <c r="B37" s="54">
        <v>10</v>
      </c>
      <c r="C37" s="53" t="s">
        <v>82</v>
      </c>
      <c r="D37" s="4"/>
      <c r="E37" s="4"/>
      <c r="F37" s="4"/>
      <c r="G37" s="4"/>
      <c r="H37" s="59"/>
      <c r="I37" s="1"/>
      <c r="J37" s="1"/>
      <c r="K37" s="1"/>
      <c r="L37" s="1"/>
      <c r="M37" s="1"/>
      <c r="N37" s="59"/>
      <c r="O37" s="4"/>
      <c r="P37" s="4"/>
      <c r="Q37" s="4"/>
      <c r="R37" s="4"/>
      <c r="S37" s="59"/>
      <c r="T37" s="4"/>
      <c r="U37" s="4"/>
      <c r="V37" s="4"/>
      <c r="W37" s="4"/>
      <c r="X37" s="4"/>
      <c r="Y37" s="59"/>
      <c r="Z37" s="4">
        <f t="shared" ref="Z37:Z39" si="5">COUNTIF(D37:Y37,1)</f>
        <v>0</v>
      </c>
      <c r="AA37" s="4">
        <f t="shared" ref="AA37:AA39" si="6">COUNTIF(D37:Y37,0)</f>
        <v>0</v>
      </c>
      <c r="AB37" s="4">
        <f t="shared" ref="AB37:AB39" si="7">COUNTIF(D37:Y37,"T")</f>
        <v>0</v>
      </c>
      <c r="AC37" s="4">
        <f t="shared" ref="AC37:AC39" si="8">COUNTIF(D37:Y37,"J")</f>
        <v>0</v>
      </c>
      <c r="AD37" s="10">
        <f t="shared" ref="AD37:AD39" si="9">SUM(Z37+AB37)/18</f>
        <v>0</v>
      </c>
    </row>
    <row r="38" spans="1:30" x14ac:dyDescent="0.3">
      <c r="A38" s="6">
        <v>27</v>
      </c>
      <c r="B38" s="54">
        <v>10</v>
      </c>
      <c r="C38" s="53" t="s">
        <v>83</v>
      </c>
      <c r="D38" s="4"/>
      <c r="E38" s="4"/>
      <c r="F38" s="4"/>
      <c r="G38" s="4"/>
      <c r="H38" s="59"/>
      <c r="I38" s="1"/>
      <c r="J38" s="1"/>
      <c r="K38" s="1"/>
      <c r="L38" s="1"/>
      <c r="M38" s="1"/>
      <c r="N38" s="59"/>
      <c r="O38" s="4"/>
      <c r="P38" s="4"/>
      <c r="Q38" s="4"/>
      <c r="R38" s="4"/>
      <c r="S38" s="59"/>
      <c r="T38" s="4"/>
      <c r="U38" s="4"/>
      <c r="V38" s="4"/>
      <c r="W38" s="4"/>
      <c r="X38" s="4"/>
      <c r="Y38" s="59"/>
      <c r="Z38" s="4">
        <f t="shared" si="5"/>
        <v>0</v>
      </c>
      <c r="AA38" s="4">
        <f t="shared" si="6"/>
        <v>0</v>
      </c>
      <c r="AB38" s="4">
        <f t="shared" si="7"/>
        <v>0</v>
      </c>
      <c r="AC38" s="4">
        <f t="shared" si="8"/>
        <v>0</v>
      </c>
      <c r="AD38" s="10">
        <f t="shared" si="9"/>
        <v>0</v>
      </c>
    </row>
    <row r="39" spans="1:30" x14ac:dyDescent="0.3">
      <c r="A39" s="6">
        <v>28</v>
      </c>
      <c r="B39" s="54">
        <v>11</v>
      </c>
      <c r="C39" s="53" t="s">
        <v>84</v>
      </c>
      <c r="D39" s="4"/>
      <c r="E39" s="4"/>
      <c r="F39" s="4"/>
      <c r="G39" s="4"/>
      <c r="H39" s="59"/>
      <c r="I39" s="1"/>
      <c r="J39" s="1"/>
      <c r="K39" s="1"/>
      <c r="L39" s="1"/>
      <c r="M39" s="1"/>
      <c r="N39" s="59"/>
      <c r="O39" s="4"/>
      <c r="P39" s="4"/>
      <c r="Q39" s="4"/>
      <c r="R39" s="4"/>
      <c r="S39" s="59"/>
      <c r="T39" s="4"/>
      <c r="U39" s="4"/>
      <c r="V39" s="4"/>
      <c r="W39" s="4"/>
      <c r="X39" s="4"/>
      <c r="Y39" s="59"/>
      <c r="Z39" s="4">
        <f t="shared" si="5"/>
        <v>0</v>
      </c>
      <c r="AA39" s="4">
        <f t="shared" si="6"/>
        <v>0</v>
      </c>
      <c r="AB39" s="4">
        <f t="shared" si="7"/>
        <v>0</v>
      </c>
      <c r="AC39" s="4">
        <f t="shared" si="8"/>
        <v>0</v>
      </c>
      <c r="AD39" s="10">
        <f t="shared" si="9"/>
        <v>0</v>
      </c>
    </row>
  </sheetData>
  <mergeCells count="23">
    <mergeCell ref="AC10:AD10"/>
    <mergeCell ref="A10:B10"/>
    <mergeCell ref="C10:J10"/>
    <mergeCell ref="K10:S10"/>
    <mergeCell ref="T10:Z10"/>
    <mergeCell ref="AA10:AB10"/>
    <mergeCell ref="A8:AD8"/>
    <mergeCell ref="A9:B9"/>
    <mergeCell ref="C9:G9"/>
    <mergeCell ref="H9:J9"/>
    <mergeCell ref="K9:S9"/>
    <mergeCell ref="Y9:AD9"/>
    <mergeCell ref="C2:Z6"/>
    <mergeCell ref="AA2:AC3"/>
    <mergeCell ref="AD2:AD7"/>
    <mergeCell ref="AA4:AC5"/>
    <mergeCell ref="AA6:AC7"/>
    <mergeCell ref="C7:Z7"/>
    <mergeCell ref="AG11:AN11"/>
    <mergeCell ref="H11:H39"/>
    <mergeCell ref="N11:N39"/>
    <mergeCell ref="S11:S39"/>
    <mergeCell ref="Y11:Y39"/>
  </mergeCells>
  <conditionalFormatting sqref="H11 N11 S11 Y11 D12:G39 I12 O12:R39 T12:X39">
    <cfRule type="cellIs" dxfId="2" priority="252" stopIfTrue="1" operator="equal">
      <formula>"T"</formula>
    </cfRule>
  </conditionalFormatting>
  <conditionalFormatting sqref="H11 I12 O12:R23 T12:X23 G13:G23">
    <cfRule type="cellIs" dxfId="1" priority="2" operator="equal">
      <formula>"T"</formula>
    </cfRule>
  </conditionalFormatting>
  <conditionalFormatting sqref="H11 N11 S11 Y11 D12:G39 I12 O12:R39 T12:X39">
    <cfRule type="cellIs" dxfId="0" priority="254" operator="equal">
      <formula>"J"</formula>
    </cfRule>
  </conditionalFormatting>
  <pageMargins left="0.7" right="0.7" top="0.75" bottom="0.75" header="0.3" footer="0.3"/>
  <pageSetup orientation="portrait" horizont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3" id="{839F3F30-1732-4DDC-8FD4-3FB76CDB6D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S11 H11 N11 Y11 D12:G39 I12 O12:R39 T12:X39</xm:sqref>
        </x14:conditionalFormatting>
        <x14:conditionalFormatting xmlns:xm="http://schemas.microsoft.com/office/excel/2006/main">
          <x14:cfRule type="iconSet" priority="251" id="{4CB46429-9D82-49AF-B08F-5629593F0F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T12:X12 I12 G13:G23 H11 O12:R12</xm:sqref>
        </x14:conditionalFormatting>
        <x14:conditionalFormatting xmlns:xm="http://schemas.microsoft.com/office/excel/2006/main">
          <x14:cfRule type="iconSet" priority="273" id="{9C5F5212-D4A6-41DF-9E38-5A91201A21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igns" iconId="1"/>
              <x14:cfIcon iconSet="3Symbols2" iconId="0"/>
              <x14:cfIcon iconSet="3Symbols2" iconId="2"/>
            </x14:iconSet>
          </x14:cfRule>
          <xm:sqref>G13:G15 D40:Y63 D24:G39 O24:R39 T24:X39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Enero!Área_de_impresión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Suarez Ortiz</dc:creator>
  <cp:lastModifiedBy>Hugo Andres Paz</cp:lastModifiedBy>
  <cp:lastPrinted>2026-01-18T02:53:36Z</cp:lastPrinted>
  <dcterms:created xsi:type="dcterms:W3CDTF">2025-01-21T13:06:07Z</dcterms:created>
  <dcterms:modified xsi:type="dcterms:W3CDTF">2026-06-22T16:26:10Z</dcterms:modified>
</cp:coreProperties>
</file>