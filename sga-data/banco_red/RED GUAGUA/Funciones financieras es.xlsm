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andres\Desktop\"/>
    </mc:Choice>
  </mc:AlternateContent>
  <bookViews>
    <workbookView xWindow="0" yWindow="0" windowWidth="21600" windowHeight="9636"/>
  </bookViews>
  <sheets>
    <sheet name="pago" sheetId="1" r:id="rId1"/>
    <sheet name="Valor actual" sheetId="9" r:id="rId2"/>
    <sheet name="Nper" sheetId="3" r:id="rId3"/>
    <sheet name="Tasa" sheetId="4" r:id="rId4"/>
    <sheet name="valor futuro" sheetId="2" r:id="rId5"/>
    <sheet name="Pagoint-Pagoprin" sheetId="5" r:id="rId6"/>
  </sheets>
  <functionGroups builtInGroupCount="18"/>
  <definedNames>
    <definedName name="_xlcn.WorksheetConnection_01.FunciónPAGO.xlsmTabla7" hidden="1">Tabla7</definedName>
    <definedName name="_xlcn.WorksheetConnection_01.FunciónPAGO.xlsmTabla9" hidden="1">Tabla9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9" name="Tabla9" connection="WorksheetConnection_01. Función PAGO.xlsm!Tabla9"/>
          <x15:modelTable id="Tabla7" name="Tabla7" connection="WorksheetConnection_01. Función PAGO.xlsm!Tabla7"/>
        </x15:modelTables>
        <x15:modelRelationships>
          <x15:modelRelationship fromTable="Tabla9" fromColumn="Ciudad" toTable="Tabla7" toColumn="Ciuda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" i="2" l="1"/>
  <c r="L14" i="2"/>
  <c r="L13" i="2"/>
  <c r="L12" i="2"/>
  <c r="L11" i="2"/>
  <c r="C9" i="5" l="1"/>
  <c r="D10" i="5"/>
  <c r="D7" i="4"/>
  <c r="D15" i="4"/>
  <c r="D18" i="5"/>
  <c r="D16" i="5"/>
  <c r="D7" i="5"/>
  <c r="D12" i="1"/>
  <c r="D17" i="5"/>
  <c r="D20" i="5"/>
  <c r="D16" i="4"/>
  <c r="D7" i="1"/>
  <c r="D11" i="2"/>
  <c r="D8" i="2"/>
  <c r="C7" i="1" l="1"/>
  <c r="D5" i="4"/>
  <c r="C11" i="1" l="1"/>
  <c r="C9" i="1"/>
  <c r="D7" i="9"/>
  <c r="D11" i="5"/>
  <c r="D10" i="9"/>
  <c r="J17" i="2" l="1"/>
  <c r="J18" i="2" s="1"/>
  <c r="J19" i="2" s="1"/>
  <c r="J20" i="2" s="1"/>
  <c r="J21" i="2" s="1"/>
  <c r="J11" i="2"/>
</calcChain>
</file>

<file path=xl/comments1.xml><?xml version="1.0" encoding="utf-8"?>
<comments xmlns="http://schemas.openxmlformats.org/spreadsheetml/2006/main">
  <authors>
    <author>Andres Paz Burbano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Andres Paz Burbano:</t>
        </r>
        <r>
          <rPr>
            <sz val="9"/>
            <color indexed="81"/>
            <rFont val="Tahoma"/>
            <family val="2"/>
          </rPr>
          <t xml:space="preserve">
calcula el valor de pago de un préstamo basándose en pagos constantes y en una tasa de interés constante</t>
        </r>
      </text>
    </comment>
  </commentList>
</comments>
</file>

<file path=xl/comments2.xml><?xml version="1.0" encoding="utf-8"?>
<comments xmlns="http://schemas.openxmlformats.org/spreadsheetml/2006/main">
  <authors>
    <author>Andres Paz Burbano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Andres Paz Burbano:</t>
        </r>
        <r>
          <rPr>
            <sz val="9"/>
            <color indexed="81"/>
            <rFont val="Tahoma"/>
            <family val="2"/>
          </rPr>
          <t xml:space="preserve">
calcula el valor de pago de un préstamo basándose en pagos constantes y en una tasa de interés constante</t>
        </r>
      </text>
    </comment>
  </commentList>
</comments>
</file>

<file path=xl/comments3.xml><?xml version="1.0" encoding="utf-8"?>
<comments xmlns="http://schemas.openxmlformats.org/spreadsheetml/2006/main">
  <authors>
    <author>Andres Paz Burbano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Andres Paz Burbano:</t>
        </r>
        <r>
          <rPr>
            <sz val="9"/>
            <color indexed="81"/>
            <rFont val="Tahoma"/>
            <family val="2"/>
          </rPr>
          <t xml:space="preserve">
Calcular el número de periodos para una inversión basado en un tipo de interés especificado y en un programa de pagos constante</t>
        </r>
      </text>
    </comment>
  </commentList>
</comments>
</file>

<file path=xl/comments4.xml><?xml version="1.0" encoding="utf-8"?>
<comments xmlns="http://schemas.openxmlformats.org/spreadsheetml/2006/main">
  <authors>
    <author>Andres Paz Burbano</author>
    <author>Usuario de Windows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Andres Paz Burbano:</t>
        </r>
        <r>
          <rPr>
            <sz val="9"/>
            <color indexed="81"/>
            <rFont val="Tahoma"/>
            <family val="2"/>
          </rPr>
          <t xml:space="preserve">
Devuelve la tasa de interés por período de una anualidad. Teniendo en cuenta una inversión y el valor a recibir</t>
        </r>
      </text>
    </comment>
    <comment ref="C5" authorId="1" shapeId="0">
      <text>
        <r>
          <rPr>
            <b/>
            <sz val="9"/>
            <color indexed="81"/>
            <rFont val="Tahoma"/>
            <charset val="1"/>
          </rPr>
          <t>Usuario de Windows:</t>
        </r>
        <r>
          <rPr>
            <sz val="9"/>
            <color indexed="81"/>
            <rFont val="Tahoma"/>
            <charset val="1"/>
          </rPr>
          <t xml:space="preserve">
El valor es negativo porque representa un flujo de salida de dinero y puede ser negativo para el pago o prestamo</t>
        </r>
      </text>
    </comment>
    <comment ref="C16" authorId="1" shapeId="0">
      <text>
        <r>
          <rPr>
            <b/>
            <sz val="9"/>
            <color indexed="81"/>
            <rFont val="Tahoma"/>
            <charset val="1"/>
          </rPr>
          <t>Usuario de Windows:</t>
        </r>
        <r>
          <rPr>
            <sz val="9"/>
            <color indexed="81"/>
            <rFont val="Tahoma"/>
            <charset val="1"/>
          </rPr>
          <t xml:space="preserve">
El valor es negativo porque representa un flujo de salida de dinero y puede ser negativo para el pago o prestamo</t>
        </r>
      </text>
    </comment>
  </commentList>
</comments>
</file>

<file path=xl/comments5.xml><?xml version="1.0" encoding="utf-8"?>
<comments xmlns="http://schemas.openxmlformats.org/spreadsheetml/2006/main">
  <authors>
    <author>Andres Paz Burbano</author>
    <author>Usuario de Windows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Andres Paz Burbano:</t>
        </r>
        <r>
          <rPr>
            <sz val="9"/>
            <color indexed="81"/>
            <rFont val="Tahoma"/>
            <family val="2"/>
          </rPr>
          <t xml:space="preserve">
conocer el valor futuro o monto final que tendrá una inversión en una fecha determinada</t>
        </r>
      </text>
    </comment>
    <comment ref="C8" authorId="1" shapeId="0">
      <text>
        <r>
          <rPr>
            <b/>
            <sz val="9"/>
            <color indexed="81"/>
            <rFont val="Tahoma"/>
            <charset val="1"/>
          </rPr>
          <t>Usuario de Windows:</t>
        </r>
        <r>
          <rPr>
            <sz val="9"/>
            <color indexed="81"/>
            <rFont val="Tahoma"/>
            <charset val="1"/>
          </rPr>
          <t xml:space="preserve">
Esta en negativo porque representa un flujo de salida de efectivo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profesor" description="Conexión a la consulta 'profesor' en el libro." type="5" refreshedVersion="6" background="1">
    <dbPr connection="Provider=Microsoft.Mashup.OleDb.1;Data Source=$Workbook$;Location=profesor;Extended Properties=&quot;&quot;" command="SELECT * FROM [profesor]"/>
  </connection>
  <connection id="2" keepAlive="1" name="Consulta - profesor (2)" description="Conexión a la consulta 'profesor (2)' en el libro." type="5" refreshedVersion="6" background="1">
    <dbPr connection="Provider=Microsoft.Mashup.OleDb.1;Data Source=$Workbook$;Location=profesor (2);Extended Properties=&quot;&quot;" command="SELECT * FROM [profesor (2)]"/>
  </connection>
  <connection id="3" keepAlive="1" name="Consulta - profesor (3)" description="Conexión a la consulta 'profesor (3)' en el libro." type="5" refreshedVersion="6" background="1">
    <dbPr connection="Provider=Microsoft.Mashup.OleDb.1;Data Source=$Workbook$;Location=profesor (3);Extended Properties=&quot;&quot;" command="SELECT * FROM [profesor (3)]"/>
  </connection>
  <connection id="4" keepAlive="1" name="Consulta - Table 12" description="Conexión a la consulta 'Table 12' en el libro." type="5" refreshedVersion="6" background="1" saveData="1">
    <dbPr connection="Provider=Microsoft.Mashup.OleDb.1;Data Source=$Workbook$;Location=Table 12;Extended Properties=&quot;&quot;" command="SELECT * FROM [Table 12]"/>
  </connection>
  <connection id="5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name="WorksheetConnection_01. Función PAGO.xlsm!Tabla7" type="102" refreshedVersion="6" minRefreshableVersion="5">
    <extLst>
      <ext xmlns:x15="http://schemas.microsoft.com/office/spreadsheetml/2010/11/main" uri="{DE250136-89BD-433C-8126-D09CA5730AF9}">
        <x15:connection id="Tabla7">
          <x15:rangePr sourceName="_xlcn.WorksheetConnection_01.FunciónPAGO.xlsmTabla7"/>
        </x15:connection>
      </ext>
    </extLst>
  </connection>
  <connection id="7" name="WorksheetConnection_01. Función PAGO.xlsm!Tabla9" type="102" refreshedVersion="6" minRefreshableVersion="5">
    <extLst>
      <ext xmlns:x15="http://schemas.microsoft.com/office/spreadsheetml/2010/11/main" uri="{DE250136-89BD-433C-8126-D09CA5730AF9}">
        <x15:connection id="Tabla9">
          <x15:rangePr sourceName="_xlcn.WorksheetConnection_01.FunciónPAGO.xlsmTabla9"/>
        </x15:connection>
      </ext>
    </extLst>
  </connection>
</connections>
</file>

<file path=xl/sharedStrings.xml><?xml version="1.0" encoding="utf-8"?>
<sst xmlns="http://schemas.openxmlformats.org/spreadsheetml/2006/main" count="74" uniqueCount="56">
  <si>
    <t>Principal</t>
  </si>
  <si>
    <t>Interés %</t>
  </si>
  <si>
    <t>Período de pagos</t>
  </si>
  <si>
    <t>Cuota mensual</t>
  </si>
  <si>
    <t>Función Pago</t>
  </si>
  <si>
    <t>Andrés Necesita calcular el valor de la cuota Mensual de un crédito apartir de un monto inicial, interés  y periodo de Pagos</t>
  </si>
  <si>
    <t>Depósito anual</t>
  </si>
  <si>
    <t>Período de capitalización</t>
  </si>
  <si>
    <t>Valor Futuro</t>
  </si>
  <si>
    <t>Pagos al inicio</t>
  </si>
  <si>
    <t>Pagos al final</t>
  </si>
  <si>
    <t>Período Años</t>
  </si>
  <si>
    <t>Flujo de Efectivo</t>
  </si>
  <si>
    <t>Saldo de Efectivo</t>
  </si>
  <si>
    <t>Función Valor futuro</t>
  </si>
  <si>
    <t>Interés</t>
  </si>
  <si>
    <t>Función Nper</t>
  </si>
  <si>
    <t>Período mensual</t>
  </si>
  <si>
    <t>Total de la inversión</t>
  </si>
  <si>
    <t>Valor a recibir</t>
  </si>
  <si>
    <t>Función Tasa</t>
  </si>
  <si>
    <t>Desglose de Intereses y Capital</t>
  </si>
  <si>
    <t>N° Mes</t>
  </si>
  <si>
    <t>Intereses</t>
  </si>
  <si>
    <t>Capital</t>
  </si>
  <si>
    <t>Interés Anual</t>
  </si>
  <si>
    <t>Andrés Desea conocer la cantidad de meses necesario para pagar una deuda</t>
  </si>
  <si>
    <t>Interés Anual %</t>
  </si>
  <si>
    <t xml:space="preserve">Intereses </t>
  </si>
  <si>
    <t>Función Pagoint y pagoprint</t>
  </si>
  <si>
    <t>Total</t>
  </si>
  <si>
    <t>Interes más capital</t>
  </si>
  <si>
    <t>Cuota</t>
  </si>
  <si>
    <t>Tabla de Amortización</t>
  </si>
  <si>
    <t>Período de pagos Anual</t>
  </si>
  <si>
    <t>PAGO(interes_anual;periodos;valor_actual)</t>
  </si>
  <si>
    <t>VF(tasa;numeroperiodos;pago)</t>
  </si>
  <si>
    <t>Función Valor Actual</t>
  </si>
  <si>
    <t>VA(tasa;periodospagos;valorpago)</t>
  </si>
  <si>
    <t>Periodo Mensual</t>
  </si>
  <si>
    <t>Interés anual %</t>
  </si>
  <si>
    <t>Interes Mensual %</t>
  </si>
  <si>
    <t># cuota</t>
  </si>
  <si>
    <t>Acumulado de capital</t>
  </si>
  <si>
    <t>Acumulado de interes</t>
  </si>
  <si>
    <t>Capital Restante</t>
  </si>
  <si>
    <t>Andres desea conocer su plan de pagos (tabla de amortización)</t>
  </si>
  <si>
    <t>Total a Pagar</t>
  </si>
  <si>
    <t>Andrés Necesita calcular el monto que puede recibir como prestamo teniendo en cuenta que conoce el interés que administra el banco, los periodos que desea cancelar y el valor mensual que puede pagar</t>
  </si>
  <si>
    <t>Prestamo</t>
  </si>
  <si>
    <t>pago</t>
  </si>
  <si>
    <t>Cuotas</t>
  </si>
  <si>
    <t>interés</t>
  </si>
  <si>
    <t>Andrés necesita calcular la tasa de interés pasiva mensual para un prestamo de TRES MILLONES DOSCIENTOS MIL con pagos mensuales de  OCHENTA MIL</t>
  </si>
  <si>
    <t>Una persona le solicita a Andrés invierta un valor, con la promesa que en 4 años devolvera 4,500 Andrés necesita saber si la tasa de interés activa es mayor que 10% con el fin de obtener una buena rentabilidad</t>
  </si>
  <si>
    <t>Andrés desea realizar una inversión por el valor especificado en el depósito anual de UN MIL QUINIENTOS los 31 de diciembre con un retorno de interes por el valor acumulado a un periodo de capitalización de 5 años, calcular el valor futuro monetario por dicho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</si>
</sst>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6" formatCode="&quot;$&quot;\ #,##0;[Red]\-&quot;$&quot;\ #,##0"/>
    <numFmt numFmtId="8" formatCode="&quot;$&quot;\ #,##0.00;[Red]\-&quot;$&quot;\ #,##0.00"/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.00;[Red]\-&quot;$&quot;#,##0.00"/>
    <numFmt numFmtId="165" formatCode="&quot;$&quot;#,##0.00"/>
    <numFmt numFmtId="166" formatCode="&quot;$&quot;\ #,##0.00"/>
    <numFmt numFmtId="167" formatCode="&quot;$&quot;\ #,##0"/>
    <numFmt numFmtId="168" formatCode="&quot;$&quot;\ #,##0.000"/>
    <numFmt numFmtId="169" formatCode="&quot;$&quot;#,##0"/>
    <numFmt numFmtId="170" formatCode="&quot;$&quot;#,##0;[Red]\-&quot;$&quot;#,##0"/>
    <numFmt numFmtId="171" formatCode="0.0%"/>
    <numFmt numFmtId="172" formatCode="&quot;$&quot;\ #,##0.0;[Red]\-&quot;$&quot;\ #,##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0">
    <xf numFmtId="0" fontId="0" fillId="0" borderId="0" xfId="0"/>
    <xf numFmtId="165" fontId="3" fillId="0" borderId="5" xfId="0" applyNumberFormat="1" applyFont="1" applyBorder="1"/>
    <xf numFmtId="0" fontId="2" fillId="4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wrapText="1"/>
    </xf>
    <xf numFmtId="0" fontId="0" fillId="5" borderId="8" xfId="0" applyFont="1" applyFill="1" applyBorder="1"/>
    <xf numFmtId="165" fontId="3" fillId="5" borderId="8" xfId="0" applyNumberFormat="1" applyFont="1" applyFill="1" applyBorder="1"/>
    <xf numFmtId="165" fontId="0" fillId="5" borderId="8" xfId="0" applyNumberFormat="1" applyFont="1" applyFill="1" applyBorder="1"/>
    <xf numFmtId="0" fontId="0" fillId="0" borderId="8" xfId="0" applyFont="1" applyBorder="1"/>
    <xf numFmtId="165" fontId="3" fillId="0" borderId="8" xfId="0" applyNumberFormat="1" applyFont="1" applyBorder="1"/>
    <xf numFmtId="165" fontId="0" fillId="0" borderId="8" xfId="0" applyNumberFormat="1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/>
    <xf numFmtId="164" fontId="0" fillId="0" borderId="0" xfId="0" applyNumberFormat="1"/>
    <xf numFmtId="0" fontId="0" fillId="0" borderId="3" xfId="0" applyBorder="1"/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wrapText="1"/>
    </xf>
    <xf numFmtId="168" fontId="0" fillId="0" borderId="0" xfId="0" applyNumberFormat="1"/>
    <xf numFmtId="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Alignment="1">
      <alignment horizontal="center" vertical="center" wrapText="1"/>
    </xf>
    <xf numFmtId="169" fontId="0" fillId="0" borderId="0" xfId="0" applyNumberFormat="1" applyAlignment="1">
      <alignment horizontal="center"/>
    </xf>
    <xf numFmtId="9" fontId="0" fillId="0" borderId="3" xfId="1" applyNumberFormat="1" applyFont="1" applyBorder="1"/>
    <xf numFmtId="0" fontId="9" fillId="0" borderId="9" xfId="0" applyFont="1" applyBorder="1" applyAlignment="1">
      <alignment horizontal="center"/>
    </xf>
    <xf numFmtId="9" fontId="0" fillId="0" borderId="3" xfId="1" applyNumberFormat="1" applyFont="1" applyBorder="1" applyAlignment="1">
      <alignment horizontal="right"/>
    </xf>
    <xf numFmtId="0" fontId="0" fillId="0" borderId="3" xfId="0" applyBorder="1" applyAlignment="1">
      <alignment horizontal="right"/>
    </xf>
    <xf numFmtId="8" fontId="0" fillId="0" borderId="3" xfId="0" applyNumberFormat="1" applyBorder="1" applyAlignment="1">
      <alignment horizontal="right"/>
    </xf>
    <xf numFmtId="42" fontId="0" fillId="0" borderId="3" xfId="0" applyNumberFormat="1" applyBorder="1" applyAlignment="1">
      <alignment horizontal="right"/>
    </xf>
    <xf numFmtId="167" fontId="0" fillId="0" borderId="3" xfId="0" applyNumberFormat="1" applyBorder="1" applyAlignment="1">
      <alignment horizontal="right"/>
    </xf>
    <xf numFmtId="0" fontId="0" fillId="0" borderId="3" xfId="0" applyFont="1" applyBorder="1" applyAlignment="1">
      <alignment horizontal="center"/>
    </xf>
    <xf numFmtId="169" fontId="13" fillId="0" borderId="3" xfId="0" applyNumberFormat="1" applyFont="1" applyBorder="1"/>
    <xf numFmtId="9" fontId="11" fillId="0" borderId="3" xfId="0" applyNumberFormat="1" applyFont="1" applyBorder="1"/>
    <xf numFmtId="1" fontId="11" fillId="0" borderId="3" xfId="0" applyNumberFormat="1" applyFont="1" applyBorder="1"/>
    <xf numFmtId="0" fontId="7" fillId="6" borderId="0" xfId="0" applyFont="1" applyFill="1" applyAlignment="1">
      <alignment horizontal="center"/>
    </xf>
    <xf numFmtId="0" fontId="0" fillId="0" borderId="10" xfId="0" applyFont="1" applyBorder="1" applyAlignment="1">
      <alignment horizontal="center"/>
    </xf>
    <xf numFmtId="0" fontId="15" fillId="7" borderId="20" xfId="0" applyFont="1" applyFill="1" applyBorder="1" applyAlignment="1">
      <alignment horizontal="center"/>
    </xf>
    <xf numFmtId="8" fontId="15" fillId="7" borderId="21" xfId="0" applyNumberFormat="1" applyFont="1" applyFill="1" applyBorder="1" applyAlignment="1">
      <alignment horizontal="center"/>
    </xf>
    <xf numFmtId="0" fontId="15" fillId="7" borderId="22" xfId="0" applyFont="1" applyFill="1" applyBorder="1" applyAlignment="1">
      <alignment horizontal="center"/>
    </xf>
    <xf numFmtId="6" fontId="0" fillId="0" borderId="3" xfId="0" applyNumberFormat="1" applyFont="1" applyBorder="1" applyAlignment="1">
      <alignment horizontal="center"/>
    </xf>
    <xf numFmtId="6" fontId="0" fillId="0" borderId="3" xfId="0" applyNumberFormat="1" applyBorder="1" applyAlignment="1">
      <alignment horizontal="center"/>
    </xf>
    <xf numFmtId="169" fontId="0" fillId="0" borderId="3" xfId="0" applyNumberFormat="1" applyBorder="1"/>
    <xf numFmtId="165" fontId="0" fillId="0" borderId="25" xfId="2" applyNumberFormat="1" applyFont="1" applyFill="1" applyBorder="1"/>
    <xf numFmtId="0" fontId="0" fillId="0" borderId="25" xfId="0" applyBorder="1"/>
    <xf numFmtId="9" fontId="0" fillId="0" borderId="25" xfId="1" applyFont="1" applyBorder="1"/>
    <xf numFmtId="165" fontId="3" fillId="0" borderId="26" xfId="0" applyNumberFormat="1" applyFont="1" applyBorder="1"/>
    <xf numFmtId="6" fontId="0" fillId="0" borderId="0" xfId="0" applyNumberFormat="1"/>
    <xf numFmtId="0" fontId="7" fillId="8" borderId="0" xfId="0" applyFont="1" applyFill="1" applyAlignment="1">
      <alignment horizontal="center"/>
    </xf>
    <xf numFmtId="165" fontId="3" fillId="0" borderId="3" xfId="0" applyNumberFormat="1" applyFont="1" applyBorder="1"/>
    <xf numFmtId="9" fontId="0" fillId="0" borderId="3" xfId="0" applyNumberFormat="1" applyBorder="1"/>
    <xf numFmtId="164" fontId="0" fillId="0" borderId="3" xfId="0" applyNumberFormat="1" applyBorder="1"/>
    <xf numFmtId="10" fontId="0" fillId="8" borderId="3" xfId="1" applyNumberFormat="1" applyFont="1" applyFill="1" applyBorder="1"/>
    <xf numFmtId="0" fontId="0" fillId="8" borderId="3" xfId="0" applyFill="1" applyBorder="1"/>
    <xf numFmtId="170" fontId="0" fillId="0" borderId="0" xfId="0" applyNumberFormat="1" applyAlignment="1">
      <alignment horizontal="center"/>
    </xf>
    <xf numFmtId="8" fontId="15" fillId="7" borderId="12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167" fontId="0" fillId="0" borderId="3" xfId="0" applyNumberFormat="1" applyBorder="1"/>
    <xf numFmtId="171" fontId="0" fillId="0" borderId="3" xfId="0" applyNumberFormat="1" applyBorder="1"/>
    <xf numFmtId="172" fontId="15" fillId="7" borderId="21" xfId="0" applyNumberFormat="1" applyFont="1" applyFill="1" applyBorder="1" applyAlignment="1">
      <alignment horizontal="center"/>
    </xf>
    <xf numFmtId="6" fontId="15" fillId="7" borderId="21" xfId="0" applyNumberFormat="1" applyFont="1" applyFill="1" applyBorder="1" applyAlignment="1">
      <alignment horizontal="center"/>
    </xf>
    <xf numFmtId="0" fontId="0" fillId="0" borderId="3" xfId="0" applyNumberFormat="1" applyBorder="1"/>
    <xf numFmtId="166" fontId="0" fillId="0" borderId="3" xfId="0" applyNumberFormat="1" applyBorder="1"/>
    <xf numFmtId="42" fontId="0" fillId="0" borderId="3" xfId="0" applyNumberFormat="1" applyBorder="1"/>
    <xf numFmtId="0" fontId="0" fillId="0" borderId="3" xfId="0" applyBorder="1" applyAlignment="1">
      <alignment wrapText="1"/>
    </xf>
    <xf numFmtId="42" fontId="14" fillId="0" borderId="3" xfId="3" applyNumberFormat="1" applyFont="1" applyBorder="1"/>
    <xf numFmtId="8" fontId="0" fillId="0" borderId="3" xfId="0" applyNumberFormat="1" applyBorder="1"/>
    <xf numFmtId="9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2" fillId="4" borderId="28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wrapText="1"/>
    </xf>
    <xf numFmtId="0" fontId="0" fillId="5" borderId="3" xfId="0" applyFont="1" applyFill="1" applyBorder="1"/>
    <xf numFmtId="165" fontId="3" fillId="5" borderId="3" xfId="0" applyNumberFormat="1" applyFont="1" applyFill="1" applyBorder="1"/>
    <xf numFmtId="165" fontId="0" fillId="5" borderId="3" xfId="0" applyNumberFormat="1" applyFont="1" applyFill="1" applyBorder="1"/>
    <xf numFmtId="0" fontId="0" fillId="0" borderId="3" xfId="0" applyFont="1" applyBorder="1"/>
    <xf numFmtId="165" fontId="0" fillId="0" borderId="3" xfId="0" applyNumberFormat="1" applyFont="1" applyBorder="1"/>
    <xf numFmtId="169" fontId="0" fillId="0" borderId="3" xfId="0" applyNumberFormat="1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9" fontId="0" fillId="0" borderId="3" xfId="1" applyNumberFormat="1" applyFont="1" applyBorder="1" applyAlignment="1">
      <alignment horizontal="center"/>
    </xf>
    <xf numFmtId="0" fontId="0" fillId="0" borderId="3" xfId="0" applyBorder="1" applyAlignment="1">
      <alignment horizontal="left"/>
    </xf>
    <xf numFmtId="169" fontId="0" fillId="0" borderId="3" xfId="0" applyNumberFormat="1" applyBorder="1" applyAlignment="1">
      <alignment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23" xfId="0" applyFont="1" applyFill="1" applyBorder="1" applyAlignment="1">
      <alignment horizontal="right"/>
    </xf>
    <xf numFmtId="0" fontId="0" fillId="2" borderId="24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0" fillId="2" borderId="2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2" fillId="7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8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right"/>
    </xf>
    <xf numFmtId="0" fontId="0" fillId="2" borderId="13" xfId="0" applyFont="1" applyFill="1" applyBorder="1" applyAlignment="1">
      <alignment horizontal="right"/>
    </xf>
    <xf numFmtId="8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3" borderId="11" xfId="0" applyFill="1" applyBorder="1" applyAlignment="1">
      <alignment horizontal="right"/>
    </xf>
    <xf numFmtId="0" fontId="0" fillId="3" borderId="13" xfId="0" applyFill="1" applyBorder="1" applyAlignment="1">
      <alignment horizontal="right"/>
    </xf>
    <xf numFmtId="0" fontId="11" fillId="3" borderId="11" xfId="0" applyFont="1" applyFill="1" applyBorder="1" applyAlignment="1">
      <alignment horizontal="right"/>
    </xf>
    <xf numFmtId="0" fontId="11" fillId="3" borderId="13" xfId="0" applyFont="1" applyFill="1" applyBorder="1" applyAlignment="1">
      <alignment horizontal="right"/>
    </xf>
    <xf numFmtId="0" fontId="0" fillId="0" borderId="0" xfId="0" applyBorder="1" applyAlignment="1">
      <alignment horizontal="center"/>
    </xf>
    <xf numFmtId="0" fontId="19" fillId="7" borderId="3" xfId="0" applyFont="1" applyFill="1" applyBorder="1" applyAlignment="1">
      <alignment horizontal="center"/>
    </xf>
    <xf numFmtId="0" fontId="12" fillId="0" borderId="0" xfId="0" applyFont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11" fillId="2" borderId="11" xfId="0" applyFont="1" applyFill="1" applyBorder="1" applyAlignment="1">
      <alignment horizontal="right"/>
    </xf>
    <xf numFmtId="0" fontId="11" fillId="2" borderId="13" xfId="0" applyFont="1" applyFill="1" applyBorder="1" applyAlignment="1">
      <alignment horizontal="right"/>
    </xf>
    <xf numFmtId="0" fontId="0" fillId="2" borderId="3" xfId="0" applyFont="1" applyFill="1" applyBorder="1" applyAlignment="1">
      <alignment horizontal="right"/>
    </xf>
    <xf numFmtId="0" fontId="10" fillId="3" borderId="3" xfId="0" applyFont="1" applyFill="1" applyBorder="1" applyAlignment="1">
      <alignment horizontal="right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2" borderId="19" xfId="0" applyFont="1" applyFill="1" applyBorder="1" applyAlignment="1">
      <alignment horizontal="right"/>
    </xf>
    <xf numFmtId="0" fontId="0" fillId="2" borderId="9" xfId="0" applyFont="1" applyFill="1" applyBorder="1" applyAlignment="1">
      <alignment horizontal="right"/>
    </xf>
    <xf numFmtId="0" fontId="0" fillId="2" borderId="12" xfId="0" applyFont="1" applyFill="1" applyBorder="1" applyAlignment="1">
      <alignment horizontal="right"/>
    </xf>
    <xf numFmtId="0" fontId="10" fillId="3" borderId="11" xfId="0" applyFont="1" applyFill="1" applyBorder="1" applyAlignment="1">
      <alignment horizontal="right"/>
    </xf>
    <xf numFmtId="0" fontId="10" fillId="3" borderId="12" xfId="0" applyFont="1" applyFill="1" applyBorder="1" applyAlignment="1">
      <alignment horizontal="right"/>
    </xf>
    <xf numFmtId="0" fontId="18" fillId="7" borderId="15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center" vertical="center"/>
    </xf>
    <xf numFmtId="0" fontId="18" fillId="7" borderId="17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0" fillId="0" borderId="6" xfId="0" applyBorder="1" applyAlignment="1">
      <alignment horizontal="right"/>
    </xf>
    <xf numFmtId="0" fontId="4" fillId="0" borderId="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0" fillId="2" borderId="3" xfId="0" applyFont="1" applyFill="1" applyBorder="1" applyAlignment="1">
      <alignment horizontal="right"/>
    </xf>
    <xf numFmtId="0" fontId="0" fillId="3" borderId="5" xfId="0" applyFont="1" applyFill="1" applyBorder="1" applyAlignment="1">
      <alignment horizontal="right"/>
    </xf>
    <xf numFmtId="0" fontId="0" fillId="3" borderId="6" xfId="0" applyFont="1" applyFill="1" applyBorder="1" applyAlignment="1">
      <alignment horizontal="right"/>
    </xf>
    <xf numFmtId="0" fontId="11" fillId="0" borderId="3" xfId="0" applyFont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/>
    </xf>
    <xf numFmtId="0" fontId="15" fillId="7" borderId="12" xfId="0" applyFont="1" applyFill="1" applyBorder="1" applyAlignment="1">
      <alignment horizontal="center"/>
    </xf>
    <xf numFmtId="0" fontId="15" fillId="7" borderId="13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70" fontId="0" fillId="0" borderId="20" xfId="0" applyNumberFormat="1" applyFill="1" applyBorder="1" applyAlignment="1">
      <alignment horizontal="center"/>
    </xf>
    <xf numFmtId="164" fontId="0" fillId="0" borderId="3" xfId="0" applyNumberFormat="1" applyFill="1" applyBorder="1" applyAlignment="1">
      <alignment horizontal="center"/>
    </xf>
    <xf numFmtId="170" fontId="0" fillId="0" borderId="3" xfId="0" applyNumberFormat="1" applyFill="1" applyBorder="1" applyAlignment="1">
      <alignment horizont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14"/>
  <sheetViews>
    <sheetView showGridLines="0" tabSelected="1" zoomScale="132" workbookViewId="0">
      <selection activeCell="C15" sqref="C15"/>
    </sheetView>
  </sheetViews>
  <sheetFormatPr baseColWidth="10" defaultRowHeight="14.4" x14ac:dyDescent="0.3"/>
  <cols>
    <col min="3" max="3" width="13.5546875" customWidth="1"/>
    <col min="4" max="4" width="36" bestFit="1" customWidth="1"/>
  </cols>
  <sheetData>
    <row r="1" spans="1:6" x14ac:dyDescent="0.3">
      <c r="A1" s="91" t="s">
        <v>4</v>
      </c>
      <c r="B1" s="91"/>
      <c r="C1" s="91"/>
      <c r="D1" s="91"/>
    </row>
    <row r="2" spans="1:6" s="12" customFormat="1" x14ac:dyDescent="0.3">
      <c r="A2" s="93" t="s">
        <v>35</v>
      </c>
      <c r="B2" s="94"/>
      <c r="C2" s="94"/>
      <c r="D2" s="94"/>
    </row>
    <row r="3" spans="1:6" ht="14.7" customHeight="1" x14ac:dyDescent="0.3">
      <c r="A3" s="92" t="s">
        <v>5</v>
      </c>
      <c r="B3" s="92"/>
      <c r="C3" s="92"/>
      <c r="D3" s="92"/>
      <c r="F3" s="84"/>
    </row>
    <row r="4" spans="1:6" x14ac:dyDescent="0.3">
      <c r="A4" s="92"/>
      <c r="B4" s="92"/>
      <c r="C4" s="92"/>
      <c r="D4" s="92"/>
      <c r="F4" s="84"/>
    </row>
    <row r="5" spans="1:6" x14ac:dyDescent="0.3">
      <c r="A5" s="92"/>
      <c r="B5" s="92"/>
      <c r="C5" s="92"/>
      <c r="D5" s="92"/>
      <c r="F5" s="84"/>
    </row>
    <row r="6" spans="1:6" x14ac:dyDescent="0.3">
      <c r="A6" s="92"/>
      <c r="B6" s="92"/>
      <c r="C6" s="92"/>
      <c r="D6" s="92"/>
      <c r="F6" s="84"/>
    </row>
    <row r="7" spans="1:6" x14ac:dyDescent="0.3">
      <c r="A7" s="85" t="s">
        <v>0</v>
      </c>
      <c r="B7" s="86"/>
      <c r="C7" s="42">
        <f>-500000</f>
        <v>-500000</v>
      </c>
      <c r="D7" s="14" t="str">
        <f>NUM_TEXTO(C7)</f>
        <v>QUINIENTOS MIL</v>
      </c>
    </row>
    <row r="8" spans="1:6" x14ac:dyDescent="0.3">
      <c r="A8" s="87" t="s">
        <v>40</v>
      </c>
      <c r="B8" s="88"/>
      <c r="C8" s="24">
        <v>0.06</v>
      </c>
      <c r="D8" s="61"/>
      <c r="E8" s="10"/>
    </row>
    <row r="9" spans="1:6" s="12" customFormat="1" x14ac:dyDescent="0.3">
      <c r="A9" s="95" t="s">
        <v>41</v>
      </c>
      <c r="B9" s="96"/>
      <c r="C9" s="52">
        <f>C8/12</f>
        <v>5.0000000000000001E-3</v>
      </c>
      <c r="D9" s="62"/>
      <c r="E9" s="10"/>
    </row>
    <row r="10" spans="1:6" x14ac:dyDescent="0.3">
      <c r="A10" s="87" t="s">
        <v>34</v>
      </c>
      <c r="B10" s="88"/>
      <c r="C10" s="14">
        <v>1</v>
      </c>
      <c r="D10" s="62"/>
    </row>
    <row r="11" spans="1:6" s="12" customFormat="1" x14ac:dyDescent="0.3">
      <c r="A11" s="95" t="s">
        <v>39</v>
      </c>
      <c r="B11" s="96"/>
      <c r="C11" s="53">
        <f>C10*12</f>
        <v>12</v>
      </c>
      <c r="D11" s="14"/>
    </row>
    <row r="12" spans="1:6" x14ac:dyDescent="0.3">
      <c r="A12" s="89" t="s">
        <v>3</v>
      </c>
      <c r="B12" s="90"/>
      <c r="C12" s="28"/>
      <c r="D12" s="63" t="str">
        <f>NUM_TEXTO(C12)</f>
        <v/>
      </c>
    </row>
    <row r="13" spans="1:6" x14ac:dyDescent="0.3">
      <c r="C13" s="19"/>
    </row>
    <row r="14" spans="1:6" x14ac:dyDescent="0.3">
      <c r="B14" s="10"/>
      <c r="C14" s="10"/>
      <c r="D14" s="18"/>
    </row>
  </sheetData>
  <mergeCells count="10">
    <mergeCell ref="A1:D1"/>
    <mergeCell ref="A3:D6"/>
    <mergeCell ref="A2:D2"/>
    <mergeCell ref="A11:B11"/>
    <mergeCell ref="A9:B9"/>
    <mergeCell ref="F3:F6"/>
    <mergeCell ref="A7:B7"/>
    <mergeCell ref="A8:B8"/>
    <mergeCell ref="A10:B10"/>
    <mergeCell ref="A12:B1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13"/>
  <sheetViews>
    <sheetView zoomScale="129" workbookViewId="0">
      <selection activeCell="C7" sqref="C7"/>
    </sheetView>
  </sheetViews>
  <sheetFormatPr baseColWidth="10" defaultColWidth="10.6640625" defaultRowHeight="14.4" x14ac:dyDescent="0.3"/>
  <cols>
    <col min="1" max="2" width="10.6640625" style="12"/>
    <col min="3" max="3" width="13.5546875" style="12" customWidth="1"/>
    <col min="4" max="4" width="53.33203125" style="12" customWidth="1"/>
    <col min="5" max="16384" width="10.6640625" style="12"/>
  </cols>
  <sheetData>
    <row r="1" spans="1:4" x14ac:dyDescent="0.3">
      <c r="A1" s="91" t="s">
        <v>37</v>
      </c>
      <c r="B1" s="91"/>
      <c r="C1" s="91"/>
      <c r="D1" s="91"/>
    </row>
    <row r="2" spans="1:4" x14ac:dyDescent="0.3">
      <c r="A2" s="99" t="s">
        <v>38</v>
      </c>
      <c r="B2" s="100"/>
      <c r="C2" s="100"/>
      <c r="D2" s="101"/>
    </row>
    <row r="3" spans="1:4" ht="14.7" customHeight="1" x14ac:dyDescent="0.3">
      <c r="A3" s="102" t="s">
        <v>48</v>
      </c>
      <c r="B3" s="103"/>
      <c r="C3" s="103"/>
      <c r="D3" s="104"/>
    </row>
    <row r="4" spans="1:4" x14ac:dyDescent="0.3">
      <c r="A4" s="105"/>
      <c r="B4" s="106"/>
      <c r="C4" s="106"/>
      <c r="D4" s="107"/>
    </row>
    <row r="5" spans="1:4" x14ac:dyDescent="0.3">
      <c r="A5" s="105"/>
      <c r="B5" s="106"/>
      <c r="C5" s="106"/>
      <c r="D5" s="107"/>
    </row>
    <row r="6" spans="1:4" x14ac:dyDescent="0.3">
      <c r="A6" s="108"/>
      <c r="B6" s="109"/>
      <c r="C6" s="109"/>
      <c r="D6" s="110"/>
    </row>
    <row r="7" spans="1:4" ht="28.8" x14ac:dyDescent="0.3">
      <c r="A7" s="111" t="s">
        <v>0</v>
      </c>
      <c r="B7" s="112"/>
      <c r="C7" s="30"/>
      <c r="D7" s="64" t="str">
        <f>NUM_TEXTO(C7)</f>
        <v/>
      </c>
    </row>
    <row r="8" spans="1:4" x14ac:dyDescent="0.3">
      <c r="A8" s="97" t="s">
        <v>27</v>
      </c>
      <c r="B8" s="98"/>
      <c r="C8" s="26">
        <v>0.04</v>
      </c>
      <c r="D8" s="14"/>
    </row>
    <row r="9" spans="1:4" x14ac:dyDescent="0.3">
      <c r="A9" s="97" t="s">
        <v>34</v>
      </c>
      <c r="B9" s="98"/>
      <c r="C9" s="27">
        <v>5</v>
      </c>
      <c r="D9" s="14"/>
    </row>
    <row r="10" spans="1:4" x14ac:dyDescent="0.3">
      <c r="A10" s="97" t="s">
        <v>3</v>
      </c>
      <c r="B10" s="98"/>
      <c r="C10" s="29">
        <v>-260000</v>
      </c>
      <c r="D10" s="14" t="str">
        <f>NUM_TEXTO(C10)</f>
        <v>DOSCIENTOS SESENTA MIL</v>
      </c>
    </row>
    <row r="13" spans="1:4" x14ac:dyDescent="0.3">
      <c r="B13" s="10"/>
      <c r="C13" s="10"/>
      <c r="D13" s="18"/>
    </row>
  </sheetData>
  <mergeCells count="7">
    <mergeCell ref="A10:B10"/>
    <mergeCell ref="A1:D1"/>
    <mergeCell ref="A2:D2"/>
    <mergeCell ref="A3:D6"/>
    <mergeCell ref="A7:B7"/>
    <mergeCell ref="A8:B8"/>
    <mergeCell ref="A9:B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D11"/>
  <sheetViews>
    <sheetView workbookViewId="0">
      <selection activeCell="C6" sqref="C6"/>
    </sheetView>
  </sheetViews>
  <sheetFormatPr baseColWidth="10" defaultRowHeight="14.4" x14ac:dyDescent="0.3"/>
  <cols>
    <col min="2" max="2" width="13.6640625" customWidth="1"/>
    <col min="3" max="3" width="22.6640625" customWidth="1"/>
    <col min="4" max="4" width="11.6640625" bestFit="1" customWidth="1"/>
  </cols>
  <sheetData>
    <row r="1" spans="1:4" ht="23.4" x14ac:dyDescent="0.45">
      <c r="A1" s="116" t="s">
        <v>16</v>
      </c>
      <c r="B1" s="116"/>
      <c r="C1" s="116"/>
    </row>
    <row r="2" spans="1:4" x14ac:dyDescent="0.3">
      <c r="A2" s="117" t="s">
        <v>26</v>
      </c>
      <c r="B2" s="117"/>
      <c r="C2" s="117"/>
    </row>
    <row r="3" spans="1:4" ht="61.5" customHeight="1" x14ac:dyDescent="0.3">
      <c r="A3" s="118"/>
      <c r="B3" s="118"/>
      <c r="C3" s="118"/>
    </row>
    <row r="4" spans="1:4" ht="18" x14ac:dyDescent="0.35">
      <c r="A4" s="119" t="s">
        <v>0</v>
      </c>
      <c r="B4" s="120"/>
      <c r="C4" s="32">
        <v>14117757.914321141</v>
      </c>
    </row>
    <row r="5" spans="1:4" ht="18" x14ac:dyDescent="0.35">
      <c r="A5" s="119" t="s">
        <v>25</v>
      </c>
      <c r="B5" s="120"/>
      <c r="C5" s="33">
        <v>0.04</v>
      </c>
      <c r="D5" s="10"/>
    </row>
    <row r="6" spans="1:4" ht="18" x14ac:dyDescent="0.35">
      <c r="A6" s="113" t="s">
        <v>17</v>
      </c>
      <c r="B6" s="114"/>
      <c r="C6" s="34"/>
    </row>
    <row r="7" spans="1:4" ht="18" x14ac:dyDescent="0.35">
      <c r="A7" s="119" t="s">
        <v>3</v>
      </c>
      <c r="B7" s="120"/>
      <c r="C7" s="65">
        <v>-260000</v>
      </c>
    </row>
    <row r="9" spans="1:4" x14ac:dyDescent="0.3">
      <c r="C9" s="11"/>
      <c r="D9" s="10"/>
    </row>
    <row r="11" spans="1:4" x14ac:dyDescent="0.3">
      <c r="A11" s="115"/>
      <c r="B11" s="115"/>
      <c r="C11" s="115"/>
    </row>
  </sheetData>
  <mergeCells count="7">
    <mergeCell ref="A6:B6"/>
    <mergeCell ref="A11:C11"/>
    <mergeCell ref="A1:C1"/>
    <mergeCell ref="A2:C3"/>
    <mergeCell ref="A4:B4"/>
    <mergeCell ref="A5:B5"/>
    <mergeCell ref="A7:B7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E18"/>
  <sheetViews>
    <sheetView topLeftCell="A4" zoomScale="165" workbookViewId="0">
      <selection activeCell="C18" sqref="C18"/>
    </sheetView>
  </sheetViews>
  <sheetFormatPr baseColWidth="10" defaultRowHeight="14.4" x14ac:dyDescent="0.3"/>
  <cols>
    <col min="3" max="3" width="37.6640625" customWidth="1"/>
    <col min="4" max="4" width="29.6640625" customWidth="1"/>
  </cols>
  <sheetData>
    <row r="1" spans="1:5" x14ac:dyDescent="0.3">
      <c r="A1" s="91" t="s">
        <v>20</v>
      </c>
      <c r="B1" s="91"/>
      <c r="C1" s="91"/>
    </row>
    <row r="2" spans="1:5" x14ac:dyDescent="0.3">
      <c r="A2" s="123" t="s">
        <v>54</v>
      </c>
      <c r="B2" s="123"/>
      <c r="C2" s="123"/>
    </row>
    <row r="3" spans="1:5" x14ac:dyDescent="0.3">
      <c r="A3" s="123"/>
      <c r="B3" s="123"/>
      <c r="C3" s="123"/>
    </row>
    <row r="4" spans="1:5" ht="27" customHeight="1" x14ac:dyDescent="0.3">
      <c r="A4" s="123"/>
      <c r="B4" s="123"/>
      <c r="C4" s="123"/>
    </row>
    <row r="5" spans="1:5" x14ac:dyDescent="0.3">
      <c r="A5" s="125" t="s">
        <v>18</v>
      </c>
      <c r="B5" s="126"/>
      <c r="C5" s="46">
        <v>-3000</v>
      </c>
      <c r="D5" t="str">
        <f>NUM_TEXTO(C5)</f>
        <v>TRES MIL</v>
      </c>
    </row>
    <row r="6" spans="1:5" x14ac:dyDescent="0.3">
      <c r="A6" s="97" t="s">
        <v>7</v>
      </c>
      <c r="B6" s="127"/>
      <c r="C6" s="44">
        <v>4</v>
      </c>
      <c r="E6" s="10"/>
    </row>
    <row r="7" spans="1:5" x14ac:dyDescent="0.3">
      <c r="A7" s="97" t="s">
        <v>19</v>
      </c>
      <c r="B7" s="127"/>
      <c r="C7" s="43">
        <v>4500</v>
      </c>
      <c r="D7" s="12" t="str">
        <f>NUM_TEXTO(C7)</f>
        <v>CUATRO MIL QUINIENTOS</v>
      </c>
    </row>
    <row r="8" spans="1:5" ht="15.6" x14ac:dyDescent="0.3">
      <c r="A8" s="128" t="s">
        <v>15</v>
      </c>
      <c r="B8" s="129"/>
      <c r="C8" s="45"/>
    </row>
    <row r="12" spans="1:5" s="12" customFormat="1" x14ac:dyDescent="0.3">
      <c r="A12" s="123" t="s">
        <v>53</v>
      </c>
      <c r="B12" s="123"/>
      <c r="C12" s="123"/>
    </row>
    <row r="13" spans="1:5" s="12" customFormat="1" x14ac:dyDescent="0.3">
      <c r="A13" s="123"/>
      <c r="B13" s="123"/>
      <c r="C13" s="123"/>
    </row>
    <row r="14" spans="1:5" s="12" customFormat="1" x14ac:dyDescent="0.3">
      <c r="A14" s="124"/>
      <c r="B14" s="124"/>
      <c r="C14" s="124"/>
    </row>
    <row r="15" spans="1:5" x14ac:dyDescent="0.3">
      <c r="A15" s="121" t="s">
        <v>49</v>
      </c>
      <c r="B15" s="121"/>
      <c r="C15" s="57">
        <v>3200000</v>
      </c>
      <c r="D15" t="str">
        <f>NUM_TEXTO(C15)</f>
        <v>TRES MILLONES DOSCIENTOS MIL</v>
      </c>
    </row>
    <row r="16" spans="1:5" x14ac:dyDescent="0.3">
      <c r="A16" s="121" t="s">
        <v>50</v>
      </c>
      <c r="B16" s="121"/>
      <c r="C16" s="57">
        <v>-80000</v>
      </c>
      <c r="D16" s="12" t="str">
        <f>NUM_TEXTO(C16)</f>
        <v>OCHENTA MIL</v>
      </c>
    </row>
    <row r="17" spans="1:3" x14ac:dyDescent="0.3">
      <c r="A17" s="121" t="s">
        <v>51</v>
      </c>
      <c r="B17" s="121"/>
      <c r="C17" s="14">
        <v>48</v>
      </c>
    </row>
    <row r="18" spans="1:3" ht="15.6" x14ac:dyDescent="0.3">
      <c r="A18" s="122" t="s">
        <v>52</v>
      </c>
      <c r="B18" s="122"/>
      <c r="C18" s="58"/>
    </row>
  </sheetData>
  <mergeCells count="11">
    <mergeCell ref="A5:B5"/>
    <mergeCell ref="A6:B6"/>
    <mergeCell ref="A7:B7"/>
    <mergeCell ref="A8:B8"/>
    <mergeCell ref="A1:C1"/>
    <mergeCell ref="A2:C4"/>
    <mergeCell ref="A15:B15"/>
    <mergeCell ref="A16:B16"/>
    <mergeCell ref="A17:B17"/>
    <mergeCell ref="A18:B18"/>
    <mergeCell ref="A12:C14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N21"/>
  <sheetViews>
    <sheetView zoomScale="117" workbookViewId="0">
      <selection activeCell="E20" sqref="E20"/>
    </sheetView>
  </sheetViews>
  <sheetFormatPr baseColWidth="10" defaultRowHeight="14.4" x14ac:dyDescent="0.3"/>
  <cols>
    <col min="2" max="2" width="17.33203125" customWidth="1"/>
    <col min="3" max="3" width="11.6640625" bestFit="1" customWidth="1"/>
    <col min="4" max="4" width="39.6640625" bestFit="1" customWidth="1"/>
    <col min="6" max="10" width="0" hidden="1" customWidth="1"/>
    <col min="12" max="12" width="16.5546875" customWidth="1"/>
    <col min="13" max="13" width="15.33203125" customWidth="1"/>
  </cols>
  <sheetData>
    <row r="1" spans="1:14" ht="15" customHeight="1" x14ac:dyDescent="0.3">
      <c r="A1" s="130" t="s">
        <v>14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14" ht="15" customHeight="1" x14ac:dyDescent="0.3">
      <c r="A2" s="133"/>
      <c r="B2" s="134"/>
      <c r="C2" s="134"/>
      <c r="D2" s="134"/>
      <c r="E2" s="134"/>
      <c r="F2" s="134"/>
      <c r="G2" s="134"/>
      <c r="H2" s="134"/>
      <c r="I2" s="134"/>
      <c r="J2" s="135"/>
    </row>
    <row r="3" spans="1:14" s="12" customFormat="1" ht="23.4" x14ac:dyDescent="0.45">
      <c r="A3" s="138" t="s">
        <v>36</v>
      </c>
      <c r="B3" s="138"/>
      <c r="C3" s="138"/>
      <c r="D3" s="138"/>
      <c r="E3" s="138"/>
      <c r="F3" s="25"/>
      <c r="G3" s="25"/>
      <c r="H3" s="25"/>
      <c r="I3" s="25"/>
      <c r="J3" s="25"/>
    </row>
    <row r="4" spans="1:14" ht="15" customHeight="1" x14ac:dyDescent="0.3">
      <c r="A4" s="102" t="s">
        <v>55</v>
      </c>
      <c r="B4" s="103"/>
      <c r="C4" s="103"/>
      <c r="D4" s="103"/>
      <c r="E4" s="103"/>
      <c r="F4" s="103"/>
      <c r="G4" s="103"/>
      <c r="H4" s="103"/>
      <c r="I4" s="103"/>
      <c r="J4" s="103"/>
    </row>
    <row r="5" spans="1:14" x14ac:dyDescent="0.3">
      <c r="A5" s="105"/>
      <c r="B5" s="106"/>
      <c r="C5" s="106"/>
      <c r="D5" s="106"/>
      <c r="E5" s="106"/>
      <c r="F5" s="106"/>
      <c r="G5" s="106"/>
      <c r="H5" s="106"/>
      <c r="I5" s="106"/>
      <c r="J5" s="106"/>
    </row>
    <row r="6" spans="1:14" ht="29.1" customHeight="1" x14ac:dyDescent="0.3">
      <c r="A6" s="105"/>
      <c r="B6" s="106"/>
      <c r="C6" s="106"/>
      <c r="D6" s="106"/>
      <c r="E6" s="106"/>
      <c r="F6" s="106"/>
      <c r="G6" s="106"/>
      <c r="H6" s="106"/>
      <c r="I6" s="106"/>
      <c r="J6" s="106"/>
    </row>
    <row r="7" spans="1:14" x14ac:dyDescent="0.3">
      <c r="A7" s="105"/>
      <c r="B7" s="106"/>
      <c r="C7" s="106"/>
      <c r="D7" s="106"/>
      <c r="E7" s="106"/>
      <c r="F7" s="106"/>
      <c r="G7" s="106"/>
      <c r="H7" s="106"/>
      <c r="I7" s="106"/>
      <c r="J7" s="106"/>
    </row>
    <row r="8" spans="1:14" ht="15.6" x14ac:dyDescent="0.3">
      <c r="A8" s="140" t="s">
        <v>6</v>
      </c>
      <c r="B8" s="140"/>
      <c r="C8" s="49">
        <v>-1500</v>
      </c>
      <c r="D8" s="14" t="str">
        <f>NUM_TEXTO(C8)</f>
        <v>UN MIL QUINIENTOS</v>
      </c>
      <c r="E8" s="14"/>
      <c r="H8" s="141" t="s">
        <v>6</v>
      </c>
      <c r="I8" s="141"/>
      <c r="J8" s="1">
        <v>-1500</v>
      </c>
      <c r="K8" s="137" t="s">
        <v>9</v>
      </c>
      <c r="L8" s="137"/>
      <c r="M8" s="137"/>
    </row>
    <row r="9" spans="1:14" ht="28.8" x14ac:dyDescent="0.3">
      <c r="A9" s="140" t="s">
        <v>1</v>
      </c>
      <c r="B9" s="140"/>
      <c r="C9" s="50">
        <v>0.08</v>
      </c>
      <c r="D9" s="50"/>
      <c r="E9" s="14"/>
      <c r="H9" s="142" t="s">
        <v>1</v>
      </c>
      <c r="I9" s="142"/>
      <c r="J9" s="67">
        <v>0.08</v>
      </c>
      <c r="K9" s="71" t="s">
        <v>11</v>
      </c>
      <c r="L9" s="72" t="s">
        <v>12</v>
      </c>
      <c r="M9" s="72" t="s">
        <v>13</v>
      </c>
    </row>
    <row r="10" spans="1:14" ht="15.6" x14ac:dyDescent="0.3">
      <c r="A10" s="140" t="s">
        <v>7</v>
      </c>
      <c r="B10" s="140"/>
      <c r="C10" s="14">
        <v>5</v>
      </c>
      <c r="D10" s="14"/>
      <c r="E10" s="14"/>
      <c r="H10" s="142" t="s">
        <v>7</v>
      </c>
      <c r="I10" s="142"/>
      <c r="J10" s="68">
        <v>5</v>
      </c>
      <c r="K10" s="73">
        <v>0</v>
      </c>
      <c r="L10" s="74">
        <v>0</v>
      </c>
      <c r="M10" s="75"/>
    </row>
    <row r="11" spans="1:14" ht="15.6" x14ac:dyDescent="0.3">
      <c r="A11" s="122" t="s">
        <v>8</v>
      </c>
      <c r="B11" s="122"/>
      <c r="C11" s="51"/>
      <c r="D11" s="66" t="str">
        <f>NUM_TEXTO(C11)</f>
        <v/>
      </c>
      <c r="E11" s="14"/>
      <c r="H11" s="136" t="s">
        <v>8</v>
      </c>
      <c r="I11" s="136"/>
      <c r="J11" s="69">
        <f>FV(J9,J10,J8,,1)</f>
        <v>9503.8935552000075</v>
      </c>
      <c r="K11" s="76">
        <v>1</v>
      </c>
      <c r="L11" s="49">
        <f>$C$8</f>
        <v>-1500</v>
      </c>
      <c r="M11" s="77"/>
      <c r="N11" s="19"/>
    </row>
    <row r="12" spans="1:14" x14ac:dyDescent="0.3">
      <c r="K12" s="73">
        <v>2</v>
      </c>
      <c r="L12" s="49">
        <f t="shared" ref="L12:L15" si="0">$C$8</f>
        <v>-1500</v>
      </c>
      <c r="M12" s="77"/>
      <c r="N12" s="19"/>
    </row>
    <row r="13" spans="1:14" x14ac:dyDescent="0.3">
      <c r="K13" s="76">
        <v>3</v>
      </c>
      <c r="L13" s="49">
        <f t="shared" si="0"/>
        <v>-1500</v>
      </c>
      <c r="M13" s="77"/>
      <c r="N13" s="19"/>
    </row>
    <row r="14" spans="1:14" x14ac:dyDescent="0.3">
      <c r="H14" s="94" t="s">
        <v>10</v>
      </c>
      <c r="I14" s="94"/>
      <c r="J14" s="139"/>
      <c r="K14" s="73">
        <v>4</v>
      </c>
      <c r="L14" s="49">
        <f t="shared" si="0"/>
        <v>-1500</v>
      </c>
      <c r="M14" s="77"/>
      <c r="N14" s="19"/>
    </row>
    <row r="15" spans="1:14" ht="14.1" customHeight="1" thickBot="1" x14ac:dyDescent="0.35">
      <c r="H15" s="2" t="s">
        <v>11</v>
      </c>
      <c r="I15" s="3" t="s">
        <v>12</v>
      </c>
      <c r="J15" s="70" t="s">
        <v>13</v>
      </c>
      <c r="K15" s="76">
        <v>5</v>
      </c>
      <c r="L15" s="49">
        <f t="shared" si="0"/>
        <v>-1500</v>
      </c>
      <c r="M15" s="77"/>
      <c r="N15" s="19"/>
    </row>
    <row r="16" spans="1:14" ht="15" thickBot="1" x14ac:dyDescent="0.35">
      <c r="H16" s="4">
        <v>0</v>
      </c>
      <c r="I16" s="5">
        <v>-1500</v>
      </c>
      <c r="J16" s="6">
        <v>1500</v>
      </c>
    </row>
    <row r="17" spans="4:10" ht="15" thickBot="1" x14ac:dyDescent="0.35">
      <c r="D17" s="12"/>
      <c r="H17" s="7">
        <v>1</v>
      </c>
      <c r="I17" s="8">
        <v>-1500</v>
      </c>
      <c r="J17" s="9">
        <f>(J16+$C$8)+($C$9*M10)</f>
        <v>0</v>
      </c>
    </row>
    <row r="18" spans="4:10" ht="15" thickBot="1" x14ac:dyDescent="0.35">
      <c r="D18" s="12"/>
      <c r="H18" s="4">
        <v>2</v>
      </c>
      <c r="I18" s="5">
        <v>-1500</v>
      </c>
      <c r="J18" s="6">
        <f>J17*(1+$C$9)+(-I18)</f>
        <v>1500</v>
      </c>
    </row>
    <row r="19" spans="4:10" ht="15" thickBot="1" x14ac:dyDescent="0.35">
      <c r="D19" s="12"/>
      <c r="H19" s="7">
        <v>3</v>
      </c>
      <c r="I19" s="8">
        <v>-1500</v>
      </c>
      <c r="J19" s="9">
        <f t="shared" ref="J19:J21" si="1">J18*(1+$C$9)+(-I19)</f>
        <v>3120</v>
      </c>
    </row>
    <row r="20" spans="4:10" ht="15" thickBot="1" x14ac:dyDescent="0.35">
      <c r="D20" s="12"/>
      <c r="H20" s="4">
        <v>4</v>
      </c>
      <c r="I20" s="5">
        <v>-1500</v>
      </c>
      <c r="J20" s="6">
        <f t="shared" si="1"/>
        <v>4869.6000000000004</v>
      </c>
    </row>
    <row r="21" spans="4:10" ht="15" thickBot="1" x14ac:dyDescent="0.35">
      <c r="H21" s="7">
        <v>5</v>
      </c>
      <c r="I21" s="8"/>
      <c r="J21" s="9">
        <f t="shared" si="1"/>
        <v>5259.1680000000006</v>
      </c>
    </row>
  </sheetData>
  <mergeCells count="13">
    <mergeCell ref="H14:J14"/>
    <mergeCell ref="A8:B8"/>
    <mergeCell ref="H8:I8"/>
    <mergeCell ref="A9:B9"/>
    <mergeCell ref="H9:I9"/>
    <mergeCell ref="A10:B10"/>
    <mergeCell ref="H10:I10"/>
    <mergeCell ref="A1:J2"/>
    <mergeCell ref="A11:B11"/>
    <mergeCell ref="H11:I11"/>
    <mergeCell ref="K8:M8"/>
    <mergeCell ref="A3:E3"/>
    <mergeCell ref="A4:J7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37"/>
  <sheetViews>
    <sheetView topLeftCell="A19" zoomScale="130" zoomScaleNormal="130" workbookViewId="0">
      <selection activeCell="A30" sqref="A30"/>
    </sheetView>
  </sheetViews>
  <sheetFormatPr baseColWidth="10" defaultColWidth="10.6640625" defaultRowHeight="14.4" x14ac:dyDescent="0.3"/>
  <cols>
    <col min="1" max="2" width="10.6640625" style="12"/>
    <col min="3" max="3" width="17" style="12" customWidth="1"/>
    <col min="4" max="4" width="31.88671875" style="12" bestFit="1" customWidth="1"/>
    <col min="5" max="5" width="17.109375" style="12" bestFit="1" customWidth="1"/>
    <col min="6" max="6" width="25.88671875" style="12" bestFit="1" customWidth="1"/>
    <col min="7" max="7" width="28" style="12" customWidth="1"/>
    <col min="8" max="8" width="20.33203125" style="12" customWidth="1"/>
    <col min="9" max="9" width="12.44140625" style="12" bestFit="1" customWidth="1"/>
    <col min="10" max="16384" width="10.6640625" style="12"/>
  </cols>
  <sheetData>
    <row r="1" spans="1:7" ht="18" x14ac:dyDescent="0.35">
      <c r="A1" s="144" t="s">
        <v>29</v>
      </c>
      <c r="B1" s="145"/>
      <c r="C1" s="145"/>
      <c r="D1" s="146"/>
      <c r="E1" s="16"/>
    </row>
    <row r="2" spans="1:7" ht="14.7" customHeight="1" x14ac:dyDescent="0.3">
      <c r="A2" s="143" t="s">
        <v>46</v>
      </c>
      <c r="B2" s="143"/>
      <c r="C2" s="143"/>
      <c r="D2" s="143"/>
      <c r="E2" s="22"/>
    </row>
    <row r="3" spans="1:7" x14ac:dyDescent="0.3">
      <c r="A3" s="143"/>
      <c r="B3" s="143"/>
      <c r="C3" s="143"/>
      <c r="D3" s="143"/>
      <c r="E3" s="22"/>
    </row>
    <row r="4" spans="1:7" x14ac:dyDescent="0.3">
      <c r="A4" s="143"/>
      <c r="B4" s="143"/>
      <c r="C4" s="143"/>
      <c r="D4" s="143"/>
      <c r="E4" s="22"/>
    </row>
    <row r="5" spans="1:7" x14ac:dyDescent="0.3">
      <c r="A5" s="143"/>
      <c r="B5" s="143"/>
      <c r="C5" s="143"/>
      <c r="D5" s="143"/>
      <c r="E5" s="22"/>
    </row>
    <row r="6" spans="1:7" x14ac:dyDescent="0.3">
      <c r="A6" s="15"/>
      <c r="B6" s="15"/>
      <c r="C6" s="15"/>
      <c r="D6" s="15"/>
      <c r="E6" s="17"/>
    </row>
    <row r="7" spans="1:7" x14ac:dyDescent="0.3">
      <c r="A7" s="147" t="s">
        <v>0</v>
      </c>
      <c r="B7" s="147"/>
      <c r="C7" s="78">
        <v>12000000</v>
      </c>
      <c r="D7" s="42" t="str">
        <f>NUM_TEXTO(C7)</f>
        <v>DOCE MILLONES</v>
      </c>
      <c r="E7" s="20"/>
    </row>
    <row r="8" spans="1:7" x14ac:dyDescent="0.3">
      <c r="A8" s="147" t="s">
        <v>27</v>
      </c>
      <c r="B8" s="147"/>
      <c r="C8" s="79">
        <v>0.24</v>
      </c>
      <c r="D8" s="62"/>
      <c r="E8" s="20"/>
      <c r="F8" s="23"/>
      <c r="G8" s="20"/>
    </row>
    <row r="9" spans="1:7" x14ac:dyDescent="0.3">
      <c r="A9" s="147" t="s">
        <v>41</v>
      </c>
      <c r="B9" s="147"/>
      <c r="C9" s="80">
        <f>C8/12</f>
        <v>0.02</v>
      </c>
      <c r="D9" s="62"/>
      <c r="E9" s="10"/>
      <c r="F9" s="23"/>
      <c r="G9" s="20"/>
    </row>
    <row r="10" spans="1:7" x14ac:dyDescent="0.3">
      <c r="A10" s="147" t="s">
        <v>2</v>
      </c>
      <c r="B10" s="147"/>
      <c r="C10" s="56">
        <v>1</v>
      </c>
      <c r="D10" s="81">
        <f>C10*12</f>
        <v>12</v>
      </c>
      <c r="G10" s="20"/>
    </row>
    <row r="11" spans="1:7" ht="28.8" x14ac:dyDescent="0.3">
      <c r="A11" s="148" t="s">
        <v>3</v>
      </c>
      <c r="B11" s="148"/>
      <c r="C11" s="157"/>
      <c r="D11" s="64" t="str">
        <f>NUM_TEXTO(C11)</f>
        <v/>
      </c>
      <c r="F11" s="21"/>
    </row>
    <row r="12" spans="1:7" x14ac:dyDescent="0.3">
      <c r="A12" s="149"/>
      <c r="B12" s="149"/>
      <c r="C12" s="149"/>
      <c r="D12" s="149"/>
    </row>
    <row r="13" spans="1:7" x14ac:dyDescent="0.3">
      <c r="A13" s="115"/>
      <c r="B13" s="115"/>
      <c r="C13" s="115"/>
      <c r="D13" s="115"/>
    </row>
    <row r="14" spans="1:7" x14ac:dyDescent="0.3">
      <c r="A14" s="150" t="s">
        <v>21</v>
      </c>
      <c r="B14" s="151"/>
      <c r="C14" s="151"/>
      <c r="D14" s="152"/>
    </row>
    <row r="15" spans="1:7" x14ac:dyDescent="0.3">
      <c r="A15" s="147" t="s">
        <v>22</v>
      </c>
      <c r="B15" s="147"/>
      <c r="C15" s="56">
        <v>1</v>
      </c>
      <c r="D15" s="14"/>
    </row>
    <row r="16" spans="1:7" x14ac:dyDescent="0.3">
      <c r="A16" s="148" t="s">
        <v>28</v>
      </c>
      <c r="B16" s="148"/>
      <c r="C16" s="158"/>
      <c r="D16" s="14" t="str">
        <f>NUM_TEXTO(C16)</f>
        <v/>
      </c>
    </row>
    <row r="17" spans="1:9" ht="28.8" x14ac:dyDescent="0.3">
      <c r="A17" s="148" t="s">
        <v>24</v>
      </c>
      <c r="B17" s="148"/>
      <c r="C17" s="158"/>
      <c r="D17" s="64" t="str">
        <f>NUM_TEXTO(C17)</f>
        <v/>
      </c>
    </row>
    <row r="18" spans="1:9" ht="28.8" x14ac:dyDescent="0.3">
      <c r="A18" s="148" t="s">
        <v>31</v>
      </c>
      <c r="B18" s="148"/>
      <c r="C18" s="159"/>
      <c r="D18" s="82" t="str">
        <f>NUM_TEXTO(C18)</f>
        <v/>
      </c>
    </row>
    <row r="19" spans="1:9" x14ac:dyDescent="0.3">
      <c r="A19" s="154"/>
      <c r="B19" s="155"/>
      <c r="C19" s="155"/>
      <c r="D19" s="156"/>
    </row>
    <row r="20" spans="1:9" ht="43.2" x14ac:dyDescent="0.3">
      <c r="A20" s="148" t="s">
        <v>47</v>
      </c>
      <c r="B20" s="148"/>
      <c r="C20" s="83"/>
      <c r="D20" s="82" t="str">
        <f>NUM_TEXTO(C20)</f>
        <v/>
      </c>
    </row>
    <row r="21" spans="1:9" ht="13.2" customHeight="1" x14ac:dyDescent="0.3">
      <c r="A21" s="13"/>
      <c r="B21" s="13"/>
      <c r="C21" s="54"/>
    </row>
    <row r="22" spans="1:9" ht="21" x14ac:dyDescent="0.4">
      <c r="B22" s="153" t="s">
        <v>33</v>
      </c>
      <c r="C22" s="153"/>
      <c r="D22" s="153"/>
      <c r="E22" s="153"/>
      <c r="F22" s="153"/>
      <c r="G22" s="153"/>
      <c r="H22" s="153"/>
    </row>
    <row r="23" spans="1:9" ht="18" x14ac:dyDescent="0.35">
      <c r="B23" s="48" t="s">
        <v>42</v>
      </c>
      <c r="C23" s="48" t="s">
        <v>23</v>
      </c>
      <c r="D23" s="48" t="s">
        <v>24</v>
      </c>
      <c r="E23" s="48" t="s">
        <v>32</v>
      </c>
      <c r="F23" s="48" t="s">
        <v>43</v>
      </c>
      <c r="G23" s="48" t="s">
        <v>44</v>
      </c>
      <c r="H23" s="35" t="s">
        <v>45</v>
      </c>
    </row>
    <row r="24" spans="1:9" x14ac:dyDescent="0.3">
      <c r="B24" s="31">
        <v>1</v>
      </c>
      <c r="C24" s="40"/>
      <c r="D24" s="40"/>
      <c r="E24" s="40"/>
      <c r="F24" s="40"/>
      <c r="G24" s="40"/>
      <c r="H24" s="41"/>
      <c r="I24" s="47"/>
    </row>
    <row r="25" spans="1:9" x14ac:dyDescent="0.3">
      <c r="B25" s="31">
        <v>2</v>
      </c>
      <c r="C25" s="40"/>
      <c r="D25" s="40"/>
      <c r="E25" s="40"/>
      <c r="F25" s="40"/>
      <c r="G25" s="40"/>
      <c r="H25" s="41"/>
    </row>
    <row r="26" spans="1:9" x14ac:dyDescent="0.3">
      <c r="B26" s="31">
        <v>3</v>
      </c>
      <c r="C26" s="40"/>
      <c r="D26" s="40"/>
      <c r="E26" s="40"/>
      <c r="F26" s="40"/>
      <c r="G26" s="40"/>
      <c r="H26" s="41"/>
    </row>
    <row r="27" spans="1:9" x14ac:dyDescent="0.3">
      <c r="A27" s="47"/>
      <c r="B27" s="31">
        <v>4</v>
      </c>
      <c r="C27" s="40"/>
      <c r="D27" s="40"/>
      <c r="E27" s="40"/>
      <c r="F27" s="40"/>
      <c r="G27" s="40"/>
      <c r="H27" s="41"/>
    </row>
    <row r="28" spans="1:9" x14ac:dyDescent="0.3">
      <c r="A28" s="47"/>
      <c r="B28" s="31">
        <v>5</v>
      </c>
      <c r="C28" s="40"/>
      <c r="D28" s="40"/>
      <c r="E28" s="40"/>
      <c r="F28" s="40"/>
      <c r="G28" s="40"/>
      <c r="H28" s="41"/>
    </row>
    <row r="29" spans="1:9" x14ac:dyDescent="0.3">
      <c r="A29" s="47"/>
      <c r="B29" s="31">
        <v>6</v>
      </c>
      <c r="C29" s="40"/>
      <c r="D29" s="40"/>
      <c r="E29" s="40"/>
      <c r="F29" s="40"/>
      <c r="G29" s="40"/>
      <c r="H29" s="41"/>
    </row>
    <row r="30" spans="1:9" x14ac:dyDescent="0.3">
      <c r="A30" s="47"/>
      <c r="B30" s="31">
        <v>7</v>
      </c>
      <c r="C30" s="40"/>
      <c r="D30" s="40"/>
      <c r="E30" s="40"/>
      <c r="F30" s="40"/>
      <c r="G30" s="40"/>
      <c r="H30" s="41"/>
    </row>
    <row r="31" spans="1:9" x14ac:dyDescent="0.3">
      <c r="A31" s="47"/>
      <c r="B31" s="31">
        <v>8</v>
      </c>
      <c r="C31" s="40"/>
      <c r="D31" s="40"/>
      <c r="E31" s="40"/>
      <c r="F31" s="40"/>
      <c r="G31" s="40"/>
      <c r="H31" s="41"/>
    </row>
    <row r="32" spans="1:9" x14ac:dyDescent="0.3">
      <c r="A32" s="47"/>
      <c r="B32" s="31">
        <v>9</v>
      </c>
      <c r="C32" s="40"/>
      <c r="D32" s="40"/>
      <c r="E32" s="40"/>
      <c r="F32" s="40"/>
      <c r="G32" s="40"/>
      <c r="H32" s="41"/>
    </row>
    <row r="33" spans="1:8" x14ac:dyDescent="0.3">
      <c r="A33" s="47"/>
      <c r="B33" s="31">
        <v>10</v>
      </c>
      <c r="C33" s="40"/>
      <c r="D33" s="40"/>
      <c r="E33" s="40"/>
      <c r="F33" s="40"/>
      <c r="G33" s="40"/>
      <c r="H33" s="41"/>
    </row>
    <row r="34" spans="1:8" x14ac:dyDescent="0.3">
      <c r="A34" s="47"/>
      <c r="B34" s="31">
        <v>11</v>
      </c>
      <c r="C34" s="40"/>
      <c r="D34" s="40"/>
      <c r="E34" s="40"/>
      <c r="F34" s="40"/>
      <c r="G34" s="40"/>
      <c r="H34" s="41"/>
    </row>
    <row r="35" spans="1:8" x14ac:dyDescent="0.3">
      <c r="A35" s="47"/>
      <c r="B35" s="36">
        <v>12</v>
      </c>
      <c r="C35" s="40"/>
      <c r="D35" s="40"/>
      <c r="E35" s="40"/>
      <c r="F35" s="40"/>
      <c r="G35" s="40"/>
      <c r="H35" s="41"/>
    </row>
    <row r="36" spans="1:8" ht="18" x14ac:dyDescent="0.35">
      <c r="B36" s="37" t="s">
        <v>30</v>
      </c>
      <c r="C36" s="59"/>
      <c r="D36" s="38"/>
      <c r="E36" s="60"/>
      <c r="F36" s="55"/>
      <c r="G36" s="39"/>
      <c r="H36" s="39"/>
    </row>
    <row r="37" spans="1:8" x14ac:dyDescent="0.3">
      <c r="D37" s="19"/>
    </row>
  </sheetData>
  <mergeCells count="16">
    <mergeCell ref="B22:H22"/>
    <mergeCell ref="A20:B20"/>
    <mergeCell ref="A18:B18"/>
    <mergeCell ref="A19:D19"/>
    <mergeCell ref="A2:D5"/>
    <mergeCell ref="A1:D1"/>
    <mergeCell ref="A15:B15"/>
    <mergeCell ref="A16:B16"/>
    <mergeCell ref="A17:B17"/>
    <mergeCell ref="A7:B7"/>
    <mergeCell ref="A8:B8"/>
    <mergeCell ref="A10:B10"/>
    <mergeCell ref="A11:B11"/>
    <mergeCell ref="A9:B9"/>
    <mergeCell ref="A12:D13"/>
    <mergeCell ref="A14:D1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498D87-1697-4653-86A3-99700D4114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pago</vt:lpstr>
      <vt:lpstr>Valor actual</vt:lpstr>
      <vt:lpstr>Nper</vt:lpstr>
      <vt:lpstr>Tasa</vt:lpstr>
      <vt:lpstr>valor futuro</vt:lpstr>
      <vt:lpstr>Pagoint-Pagoprin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 de Windows</cp:lastModifiedBy>
  <dcterms:created xsi:type="dcterms:W3CDTF">2014-01-24T15:10:36Z</dcterms:created>
  <dcterms:modified xsi:type="dcterms:W3CDTF">2021-08-04T22:12:19Z</dcterms:modified>
</cp:coreProperties>
</file>