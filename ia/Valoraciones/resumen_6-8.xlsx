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xampp\htdocs\guagua\ia\Valoraciones\"/>
    </mc:Choice>
  </mc:AlternateContent>
  <xr:revisionPtr revIDLastSave="0" documentId="13_ncr:1_{6A3E84D1-EC7B-472E-92F0-BA9AA54A1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E4" i="1" l="1"/>
  <c r="G3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E3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</calcChain>
</file>

<file path=xl/sharedStrings.xml><?xml version="1.0" encoding="utf-8"?>
<sst xmlns="http://schemas.openxmlformats.org/spreadsheetml/2006/main" count="27" uniqueCount="27">
  <si>
    <t>Nombre</t>
  </si>
  <si>
    <t>Grado</t>
  </si>
  <si>
    <t>Ciencias Sociales</t>
  </si>
  <si>
    <t>Educación Física</t>
  </si>
  <si>
    <t>Emprendimiento</t>
  </si>
  <si>
    <t>Matemáticas</t>
  </si>
  <si>
    <t>Tecnología</t>
  </si>
  <si>
    <t>Urbanidad</t>
  </si>
  <si>
    <t xml:space="preserve">Bolivar Giraldo Darly Vanesa </t>
  </si>
  <si>
    <t xml:space="preserve">Chavarria Valencia Dilan Alexis </t>
  </si>
  <si>
    <t xml:space="preserve">Daza Mazo Emily Alexandra </t>
  </si>
  <si>
    <t>Diaz Rosso Freddy De Jesus</t>
  </si>
  <si>
    <t>Figuera adrianza Brainer Josué</t>
  </si>
  <si>
    <t>Giraldo Ceballos Miguel Angel</t>
  </si>
  <si>
    <t>Giraldo Mazo Santiago</t>
  </si>
  <si>
    <t>Rodriguez Dubian Esteban</t>
  </si>
  <si>
    <t>Valencia Virgen Alexandra</t>
  </si>
  <si>
    <t>Caviedez Hernanez Juan Manuel</t>
  </si>
  <si>
    <t>Herazo Valeria Areiza</t>
  </si>
  <si>
    <t>Orozco Chavarria Cristobal</t>
  </si>
  <si>
    <t>Velazques Muñoz Anyeli Tatiana</t>
  </si>
  <si>
    <t>Duque Aristizabal Angel  Gabriel</t>
  </si>
  <si>
    <t>Eusse Castañeda Maria Fernanda</t>
  </si>
  <si>
    <t>Giraldo Giraldo Juan Camilo</t>
  </si>
  <si>
    <t>Lopez Aguirre Alexis</t>
  </si>
  <si>
    <t>Geometria</t>
  </si>
  <si>
    <t>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</si>
</sst>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s\OneDrive%20-%20UNIVERSIDAD%20DE%20SANTANDER%20-%20UDES\SEDUCA\La%20Josefina\Vallesol\2025\6-8\Geometria\Segundo%20Periodo\Valoraciones%20Geometria%206-8.xlsx" TargetMode="External"/><Relationship Id="rId1" Type="http://schemas.openxmlformats.org/officeDocument/2006/relationships/externalLinkPath" Target="file:///C:\Users\Andres\OneDrive%20-%20UNIVERSIDAD%20DE%20SANTANDER%20-%20UDES\SEDUCA\La%20Josefina\Vallesol\2025\6-8\Geometria\Segundo%20Periodo\Valoraciones%20Geometria%206-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s\OneDrive%20-%20UNIVERSIDAD%20DE%20SANTANDER%20-%20UDES\SEDUCA\La%20Josefina\Vallesol\2025\6-8\Ciencias%20Sociales\Segundo%20Periodo\Valoraciones%20Sociales%206-8.xlsx" TargetMode="External"/><Relationship Id="rId1" Type="http://schemas.openxmlformats.org/officeDocument/2006/relationships/externalLinkPath" Target="file:///C:\Users\Andres\OneDrive%20-%20UNIVERSIDAD%20DE%20SANTANDER%20-%20UDES\SEDUCA\La%20Josefina\Vallesol\2025\6-8\Ciencias%20Sociales\Segundo%20Periodo\Valoraciones%20Sociales%206-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iludesedu-my.sharepoint.com/personal/01240100237_mail_udes_edu_co/Documents/SEDUCA/La%20Josefina/Vallesol/2025/6-8/Ed%20Fisica/Valoraciones%20Ed%20Fisica%206-8.xlsx" TargetMode="External"/><Relationship Id="rId1" Type="http://schemas.openxmlformats.org/officeDocument/2006/relationships/externalLinkPath" Target="https://mailudesedu-my.sharepoint.com/personal/01240100237_mail_udes_edu_co/Documents/SEDUCA/La%20Josefina/Vallesol/2025/6-8/Ed%20Fisica/Valoraciones%20Ed%20Fisica%206-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iludesedu-my.sharepoint.com/personal/01240100237_mail_udes_edu_co/Documents/SEDUCA/La%20Josefina/Vallesol/2025/6-8/Emprendimiento/Valoraciones%20Emprendimiento%206-8%20.xlsx" TargetMode="External"/><Relationship Id="rId1" Type="http://schemas.openxmlformats.org/officeDocument/2006/relationships/externalLinkPath" Target="https://mailudesedu-my.sharepoint.com/personal/01240100237_mail_udes_edu_co/Documents/SEDUCA/La%20Josefina/Vallesol/2025/6-8/Emprendimiento/Valoraciones%20Emprendimiento%206-8%2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iludesedu-my.sharepoint.com/personal/01240100237_mail_udes_edu_co/Documents/SEDUCA/La%20Josefina/Vallesol/2025/6-8/Matematicas/Valoraciones%20Matematicas%206-8.xlsx" TargetMode="External"/><Relationship Id="rId1" Type="http://schemas.openxmlformats.org/officeDocument/2006/relationships/externalLinkPath" Target="https://mailudesedu-my.sharepoint.com/personal/01240100237_mail_udes_edu_co/Documents/SEDUCA/La%20Josefina/Vallesol/2025/6-8/Matematicas/Valoraciones%20Matematicas%206-8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iludesedu-my.sharepoint.com/personal/01240100237_mail_udes_edu_co/Documents/SEDUCA/La%20Josefina/Vallesol/2025/6-8/Tecnologia/Valoraciones%20Tecnologia%206-8%20.xlsx" TargetMode="External"/><Relationship Id="rId1" Type="http://schemas.openxmlformats.org/officeDocument/2006/relationships/externalLinkPath" Target="https://mailudesedu-my.sharepoint.com/personal/01240100237_mail_udes_edu_co/Documents/SEDUCA/La%20Josefina/Vallesol/2025/6-8/Tecnologia/Valoraciones%20Tecnologia%206-8%2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iludesedu-my.sharepoint.com/personal/01240100237_mail_udes_edu_co/Documents/SEDUCA/La%20Josefina/Vallesol/2025/6-8/Urbanidad/Valoraciones%20Urbanidad%206-8%20.xlsx" TargetMode="External"/><Relationship Id="rId1" Type="http://schemas.openxmlformats.org/officeDocument/2006/relationships/externalLinkPath" Target="https://mailudesedu-my.sharepoint.com/personal/01240100237_mail_udes_edu_co/Documents/SEDUCA/La%20Josefina/Vallesol/2025/6-8/Urbanidad/Valoraciones%20Urbanidad%206-8%20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iludesedu-my.sharepoint.com/personal/01240100237_mail_udes_edu_co/Documents/SEDUCA/La%20Josefina/Vallesol/2025/6-8/Ciencias%20Sociales/Valoraciones%20Sociales%206-8.xlsx" TargetMode="External"/><Relationship Id="rId1" Type="http://schemas.openxmlformats.org/officeDocument/2006/relationships/externalLinkPath" Target="https://mailudesedu-my.sharepoint.com/personal/01240100237_mail_udes_edu_co/Documents/SEDUCA/La%20Josefina/Vallesol/2025/6-8/Ciencias%20Sociales/Valoraciones%20Sociales%206-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oraciones"/>
    </sheetNames>
    <sheetDataSet>
      <sheetData sheetId="0">
        <row r="12">
          <cell r="S12">
            <v>5</v>
          </cell>
        </row>
        <row r="13">
          <cell r="S13">
            <v>5</v>
          </cell>
        </row>
        <row r="14">
          <cell r="S14">
            <v>5</v>
          </cell>
        </row>
        <row r="15">
          <cell r="S15">
            <v>5</v>
          </cell>
        </row>
        <row r="16">
          <cell r="S16">
            <v>5</v>
          </cell>
        </row>
        <row r="17">
          <cell r="S17">
            <v>5</v>
          </cell>
        </row>
        <row r="18">
          <cell r="S18">
            <v>5</v>
          </cell>
        </row>
        <row r="19">
          <cell r="S19">
            <v>5</v>
          </cell>
        </row>
        <row r="20">
          <cell r="S20">
            <v>5</v>
          </cell>
        </row>
        <row r="21">
          <cell r="S21">
            <v>5</v>
          </cell>
        </row>
        <row r="22">
          <cell r="S22">
            <v>5</v>
          </cell>
        </row>
        <row r="23">
          <cell r="S23">
            <v>5</v>
          </cell>
        </row>
        <row r="24">
          <cell r="S24">
            <v>5</v>
          </cell>
        </row>
        <row r="25">
          <cell r="S25">
            <v>5</v>
          </cell>
        </row>
        <row r="26">
          <cell r="S26">
            <v>5</v>
          </cell>
        </row>
        <row r="27">
          <cell r="S27">
            <v>5</v>
          </cell>
        </row>
        <row r="28">
          <cell r="S28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oraciones"/>
      <sheetName val="Hoja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oraciones"/>
    </sheetNames>
    <sheetDataSet>
      <sheetData sheetId="0">
        <row r="12">
          <cell r="V12">
            <v>4.7799999999999994</v>
          </cell>
        </row>
        <row r="13">
          <cell r="V13">
            <v>4.45</v>
          </cell>
        </row>
        <row r="14">
          <cell r="V14">
            <v>3.85</v>
          </cell>
        </row>
        <row r="15">
          <cell r="V15">
            <v>4.1500000000000004</v>
          </cell>
        </row>
        <row r="16">
          <cell r="V16">
            <v>3.9899999999999998</v>
          </cell>
        </row>
        <row r="17">
          <cell r="V17">
            <v>3.75</v>
          </cell>
        </row>
        <row r="18">
          <cell r="V18">
            <v>3.5200000000000005</v>
          </cell>
        </row>
        <row r="19">
          <cell r="V19">
            <v>3.9699999999999998</v>
          </cell>
        </row>
        <row r="20">
          <cell r="V20">
            <v>3.75</v>
          </cell>
        </row>
        <row r="21">
          <cell r="V21">
            <v>4.1349999999999998</v>
          </cell>
        </row>
        <row r="22">
          <cell r="V22">
            <v>3.2333333333333334</v>
          </cell>
        </row>
        <row r="23">
          <cell r="V23">
            <v>4.0949999999999998</v>
          </cell>
        </row>
        <row r="24">
          <cell r="V24">
            <v>3.8449999999999998</v>
          </cell>
        </row>
        <row r="25">
          <cell r="V25">
            <v>4.22</v>
          </cell>
        </row>
        <row r="26">
          <cell r="V26">
            <v>3.9249999999999998</v>
          </cell>
        </row>
        <row r="27">
          <cell r="V27">
            <v>4.46</v>
          </cell>
        </row>
        <row r="28">
          <cell r="V28">
            <v>4.1150000000000002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oraciones"/>
    </sheetNames>
    <sheetDataSet>
      <sheetData sheetId="0">
        <row r="12">
          <cell r="R12">
            <v>3.0633333333333335</v>
          </cell>
        </row>
        <row r="13">
          <cell r="R13">
            <v>3.9033333333333333</v>
          </cell>
        </row>
        <row r="15">
          <cell r="R15">
            <v>4.05</v>
          </cell>
        </row>
        <row r="16">
          <cell r="R16">
            <v>3.4849999999999999</v>
          </cell>
        </row>
        <row r="17">
          <cell r="R17">
            <v>4.3500000000000005</v>
          </cell>
        </row>
        <row r="18">
          <cell r="R18">
            <v>2.3283333333333331</v>
          </cell>
        </row>
        <row r="19">
          <cell r="R19">
            <v>2.4699999999999998</v>
          </cell>
        </row>
        <row r="20">
          <cell r="R20">
            <v>2.5750000000000002</v>
          </cell>
        </row>
        <row r="21">
          <cell r="R21">
            <v>3.0433333333333334</v>
          </cell>
        </row>
        <row r="22">
          <cell r="R22">
            <v>3.05</v>
          </cell>
        </row>
        <row r="23">
          <cell r="R23">
            <v>3.1783333333333337</v>
          </cell>
        </row>
        <row r="24">
          <cell r="R24">
            <v>2.8366666666666669</v>
          </cell>
        </row>
        <row r="25">
          <cell r="R25">
            <v>3.9366666666666665</v>
          </cell>
        </row>
        <row r="26">
          <cell r="R26">
            <v>4.0333333333333332</v>
          </cell>
        </row>
        <row r="27">
          <cell r="R27">
            <v>4.6266666666666669</v>
          </cell>
        </row>
        <row r="28">
          <cell r="R28">
            <v>3.4350000000000001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oraciones"/>
    </sheetNames>
    <sheetDataSet>
      <sheetData sheetId="0">
        <row r="12">
          <cell r="U12">
            <v>4.3466666666666667</v>
          </cell>
        </row>
        <row r="13">
          <cell r="U13">
            <v>3.3566666666666669</v>
          </cell>
        </row>
        <row r="14">
          <cell r="U14">
            <v>3.1083333333333334</v>
          </cell>
        </row>
        <row r="15">
          <cell r="U15">
            <v>3.8833333333333337</v>
          </cell>
        </row>
        <row r="16">
          <cell r="U16">
            <v>2.9733333333333332</v>
          </cell>
        </row>
        <row r="17">
          <cell r="U17">
            <v>3.125</v>
          </cell>
        </row>
        <row r="18">
          <cell r="U18">
            <v>2.5200000000000005</v>
          </cell>
        </row>
        <row r="19">
          <cell r="U19">
            <v>4.22</v>
          </cell>
        </row>
        <row r="20">
          <cell r="U20">
            <v>3.0633333333333335</v>
          </cell>
        </row>
        <row r="21">
          <cell r="U21">
            <v>3.7666666666666671</v>
          </cell>
        </row>
        <row r="22">
          <cell r="U22">
            <v>2.4750000000000001</v>
          </cell>
        </row>
        <row r="23">
          <cell r="U23">
            <v>2.7450000000000001</v>
          </cell>
        </row>
        <row r="24">
          <cell r="U24">
            <v>4.0616666666666665</v>
          </cell>
        </row>
        <row r="25">
          <cell r="U25">
            <v>3.9450000000000003</v>
          </cell>
        </row>
        <row r="26">
          <cell r="U26">
            <v>3.8499999999999996</v>
          </cell>
        </row>
        <row r="27">
          <cell r="U27">
            <v>4.2766666666666673</v>
          </cell>
        </row>
        <row r="28">
          <cell r="U28">
            <v>3.2050000000000001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oraciones"/>
    </sheetNames>
    <sheetDataSet>
      <sheetData sheetId="0">
        <row r="12">
          <cell r="U12">
            <v>4.3549999999999995</v>
          </cell>
        </row>
        <row r="13">
          <cell r="U13">
            <v>4.3250000000000002</v>
          </cell>
        </row>
        <row r="14">
          <cell r="U14">
            <v>4.3250000000000002</v>
          </cell>
        </row>
        <row r="15">
          <cell r="U15">
            <v>4.625</v>
          </cell>
        </row>
        <row r="16">
          <cell r="U16">
            <v>4.6150000000000002</v>
          </cell>
        </row>
        <row r="17">
          <cell r="U17">
            <v>4.2750000000000004</v>
          </cell>
        </row>
        <row r="18">
          <cell r="U18">
            <v>4.4450000000000003</v>
          </cell>
        </row>
        <row r="19">
          <cell r="U19">
            <v>4.5949999999999998</v>
          </cell>
        </row>
        <row r="20">
          <cell r="U20">
            <v>4.1350000000000007</v>
          </cell>
        </row>
        <row r="21">
          <cell r="U21">
            <v>4.335</v>
          </cell>
        </row>
        <row r="22">
          <cell r="U22">
            <v>4.6749999999999998</v>
          </cell>
        </row>
        <row r="23">
          <cell r="U23">
            <v>4.1950000000000003</v>
          </cell>
        </row>
        <row r="24">
          <cell r="U24">
            <v>4.2949999999999999</v>
          </cell>
        </row>
        <row r="25">
          <cell r="U25">
            <v>4.3449999999999998</v>
          </cell>
        </row>
        <row r="26">
          <cell r="U26">
            <v>4.375</v>
          </cell>
        </row>
        <row r="27">
          <cell r="U27">
            <v>4.71</v>
          </cell>
        </row>
        <row r="28">
          <cell r="U28">
            <v>4.1900000000000004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oraciones"/>
    </sheetNames>
    <sheetDataSet>
      <sheetData sheetId="0">
        <row r="12">
          <cell r="U12">
            <v>4.5175000000000001</v>
          </cell>
        </row>
        <row r="13">
          <cell r="U13">
            <v>4.4875000000000007</v>
          </cell>
        </row>
        <row r="14">
          <cell r="U14">
            <v>4.3250000000000002</v>
          </cell>
        </row>
        <row r="15">
          <cell r="U15">
            <v>4.7549999999999999</v>
          </cell>
        </row>
        <row r="16">
          <cell r="U16">
            <v>4.6150000000000002</v>
          </cell>
        </row>
        <row r="17">
          <cell r="U17">
            <v>4.2750000000000004</v>
          </cell>
        </row>
        <row r="18">
          <cell r="U18">
            <v>3.9575000000000005</v>
          </cell>
        </row>
        <row r="19">
          <cell r="U19">
            <v>4.5949999999999998</v>
          </cell>
        </row>
        <row r="20">
          <cell r="U20">
            <v>4.2</v>
          </cell>
        </row>
        <row r="21">
          <cell r="U21">
            <v>4.335</v>
          </cell>
        </row>
        <row r="22">
          <cell r="U22">
            <v>3.7</v>
          </cell>
        </row>
        <row r="23">
          <cell r="U23">
            <v>2.9925000000000002</v>
          </cell>
        </row>
        <row r="24">
          <cell r="U24">
            <v>4.2949999999999999</v>
          </cell>
        </row>
        <row r="25">
          <cell r="U25">
            <v>4.3449999999999998</v>
          </cell>
        </row>
        <row r="26">
          <cell r="U26">
            <v>3.8875000000000002</v>
          </cell>
        </row>
        <row r="27">
          <cell r="U27">
            <v>4.71</v>
          </cell>
        </row>
        <row r="28">
          <cell r="U28">
            <v>3.6374999999999997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oraciones"/>
    </sheetNames>
    <sheetDataSet>
      <sheetData sheetId="0">
        <row r="12">
          <cell r="T12">
            <v>4.3</v>
          </cell>
        </row>
        <row r="13">
          <cell r="T13">
            <v>4</v>
          </cell>
        </row>
        <row r="14">
          <cell r="T14">
            <v>4</v>
          </cell>
        </row>
        <row r="15">
          <cell r="T15">
            <v>4.5</v>
          </cell>
        </row>
        <row r="16">
          <cell r="T16">
            <v>4.4000000000000004</v>
          </cell>
        </row>
        <row r="17">
          <cell r="T17">
            <v>4</v>
          </cell>
        </row>
        <row r="18">
          <cell r="T18">
            <v>3.2</v>
          </cell>
        </row>
        <row r="19">
          <cell r="T19">
            <v>4.2</v>
          </cell>
        </row>
        <row r="20">
          <cell r="T20">
            <v>4.5</v>
          </cell>
        </row>
        <row r="21">
          <cell r="T21">
            <v>4.0999999999999996</v>
          </cell>
        </row>
        <row r="22">
          <cell r="T22">
            <v>5</v>
          </cell>
        </row>
        <row r="23">
          <cell r="T23">
            <v>4.2</v>
          </cell>
        </row>
        <row r="24">
          <cell r="T24">
            <v>3.7</v>
          </cell>
        </row>
        <row r="25">
          <cell r="T25">
            <v>4.2</v>
          </cell>
        </row>
        <row r="26">
          <cell r="T26">
            <v>5</v>
          </cell>
        </row>
        <row r="27">
          <cell r="T27">
            <v>4.5999999999999996</v>
          </cell>
        </row>
        <row r="28">
          <cell r="T28">
            <v>4.4000000000000004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36" zoomScaleNormal="136" workbookViewId="0">
      <selection activeCell="C16" sqref="C16"/>
    </sheetView>
  </sheetViews>
  <sheetFormatPr baseColWidth="10" defaultColWidth="8.88671875" defaultRowHeight="14.4" x14ac:dyDescent="0.3"/>
  <cols>
    <col min="1" max="1" width="32.33203125" bestFit="1" customWidth="1"/>
    <col min="2" max="2" width="11.5546875" style="10" bestFit="1" customWidth="1"/>
    <col min="4" max="4" width="9.77734375" bestFit="1" customWidth="1"/>
    <col min="5" max="5" width="16.33203125" bestFit="1" customWidth="1"/>
    <col min="6" max="6" width="14.5546875" bestFit="1" customWidth="1"/>
    <col min="7" max="7" width="15.109375" bestFit="1" customWidth="1"/>
    <col min="8" max="8" width="11.88671875" bestFit="1" customWidth="1"/>
    <col min="9" max="9" width="10.109375" bestFit="1" customWidth="1"/>
    <col min="10" max="10" width="9.88671875" bestFit="1" customWidth="1"/>
  </cols>
  <sheetData>
    <row r="1" spans="1:10" x14ac:dyDescent="0.3">
      <c r="A1" s="4" t="s">
        <v>0</v>
      </c>
      <c r="B1" s="6" t="s">
        <v>26</v>
      </c>
      <c r="C1" s="4" t="s">
        <v>1</v>
      </c>
      <c r="D1" s="4" t="s">
        <v>25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</row>
    <row r="2" spans="1:10" x14ac:dyDescent="0.3">
      <c r="A2" s="2" t="s">
        <v>8</v>
      </c>
      <c r="B2" s="7">
        <v>0</v>
      </c>
      <c r="C2" s="3">
        <v>6</v>
      </c>
      <c r="D2" s="5">
        <f>[1]valoraciones!$S12</f>
        <v>5</v>
      </c>
      <c r="E2" s="5">
        <f>[2]valoraciones!$SHB12</f>
        <v>0</v>
      </c>
      <c r="F2" s="5">
        <f>[3]valoraciones!$V12</f>
        <v>4.7799999999999994</v>
      </c>
      <c r="G2" s="5">
        <f>[4]valoraciones!$R12</f>
        <v>3.0633333333333335</v>
      </c>
      <c r="H2" s="5">
        <f>[5]valoraciones!$U12</f>
        <v>4.3466666666666667</v>
      </c>
      <c r="I2" s="5">
        <f>[6]valoraciones!$U12</f>
        <v>4.3549999999999995</v>
      </c>
      <c r="J2" s="5">
        <f>[7]valoraciones!$U12</f>
        <v>4.5175000000000001</v>
      </c>
    </row>
    <row r="3" spans="1:10" x14ac:dyDescent="0.3">
      <c r="A3" s="2" t="s">
        <v>9</v>
      </c>
      <c r="B3" s="8">
        <v>2</v>
      </c>
      <c r="C3" s="3">
        <v>6</v>
      </c>
      <c r="D3" s="5">
        <f>[1]valoraciones!$S13</f>
        <v>5</v>
      </c>
      <c r="E3" s="5">
        <f>[8]valoraciones!$T13</f>
        <v>4</v>
      </c>
      <c r="F3" s="5">
        <f>[3]valoraciones!$V13</f>
        <v>4.45</v>
      </c>
      <c r="G3" s="5">
        <f>[4]valoraciones!$R13</f>
        <v>3.9033333333333333</v>
      </c>
      <c r="H3" s="5">
        <f>[5]valoraciones!$U13</f>
        <v>3.3566666666666669</v>
      </c>
      <c r="I3" s="5">
        <f>[6]valoraciones!$U13</f>
        <v>4.3250000000000002</v>
      </c>
      <c r="J3" s="5">
        <f>[7]valoraciones!$U13</f>
        <v>4.4875000000000007</v>
      </c>
    </row>
    <row r="4" spans="1:10" x14ac:dyDescent="0.3">
      <c r="A4" s="2" t="s">
        <v>10</v>
      </c>
      <c r="B4" s="8">
        <v>8</v>
      </c>
      <c r="C4" s="3">
        <v>6</v>
      </c>
      <c r="D4" s="5">
        <f>[1]valoraciones!$S14</f>
        <v>5</v>
      </c>
      <c r="E4" s="5">
        <f>[8]valoraciones!$T14</f>
        <v>4</v>
      </c>
      <c r="F4" s="5">
        <f>[3]valoraciones!$V14</f>
        <v>3.85</v>
      </c>
      <c r="G4" s="5">
        <v>3</v>
      </c>
      <c r="H4" s="5">
        <f>[5]valoraciones!$U14</f>
        <v>3.1083333333333334</v>
      </c>
      <c r="I4" s="5">
        <f>[6]valoraciones!$U14</f>
        <v>4.3250000000000002</v>
      </c>
      <c r="J4" s="5">
        <f>[7]valoraciones!$U14</f>
        <v>4.3250000000000002</v>
      </c>
    </row>
    <row r="5" spans="1:10" x14ac:dyDescent="0.3">
      <c r="A5" s="2" t="s">
        <v>11</v>
      </c>
      <c r="B5" s="7">
        <v>1058198933</v>
      </c>
      <c r="C5" s="3">
        <v>6</v>
      </c>
      <c r="D5" s="5">
        <f>[1]valoraciones!$S15</f>
        <v>5</v>
      </c>
      <c r="E5" s="5">
        <f>[8]valoraciones!$T15</f>
        <v>4.5</v>
      </c>
      <c r="F5" s="5">
        <f>[3]valoraciones!$V15</f>
        <v>4.1500000000000004</v>
      </c>
      <c r="G5" s="5">
        <f>[4]valoraciones!$R15</f>
        <v>4.05</v>
      </c>
      <c r="H5" s="5">
        <f>[5]valoraciones!$U15</f>
        <v>3.8833333333333337</v>
      </c>
      <c r="I5" s="5">
        <f>[6]valoraciones!$U15</f>
        <v>4.625</v>
      </c>
      <c r="J5" s="5">
        <f>[7]valoraciones!$U15</f>
        <v>4.7549999999999999</v>
      </c>
    </row>
    <row r="6" spans="1:10" x14ac:dyDescent="0.3">
      <c r="A6" s="2" t="s">
        <v>12</v>
      </c>
      <c r="B6" s="9">
        <v>4</v>
      </c>
      <c r="C6" s="3">
        <v>6</v>
      </c>
      <c r="D6" s="5">
        <f>[1]valoraciones!$S16</f>
        <v>5</v>
      </c>
      <c r="E6" s="5">
        <f>[8]valoraciones!$T16</f>
        <v>4.4000000000000004</v>
      </c>
      <c r="F6" s="5">
        <f>[3]valoraciones!$V16</f>
        <v>3.9899999999999998</v>
      </c>
      <c r="G6" s="5">
        <f>[4]valoraciones!$R16</f>
        <v>3.4849999999999999</v>
      </c>
      <c r="H6" s="5">
        <f>[5]valoraciones!$U16</f>
        <v>2.9733333333333332</v>
      </c>
      <c r="I6" s="5">
        <f>[6]valoraciones!$U16</f>
        <v>4.6150000000000002</v>
      </c>
      <c r="J6" s="5">
        <f>[7]valoraciones!$U16</f>
        <v>4.6150000000000002</v>
      </c>
    </row>
    <row r="7" spans="1:10" x14ac:dyDescent="0.3">
      <c r="A7" s="2" t="s">
        <v>13</v>
      </c>
      <c r="B7" s="8">
        <v>6</v>
      </c>
      <c r="C7" s="3">
        <v>6</v>
      </c>
      <c r="D7" s="5">
        <f>[1]valoraciones!$S17</f>
        <v>5</v>
      </c>
      <c r="E7" s="5">
        <f>[8]valoraciones!$T17</f>
        <v>4</v>
      </c>
      <c r="F7" s="5">
        <f>[3]valoraciones!$V17</f>
        <v>3.75</v>
      </c>
      <c r="G7" s="5">
        <f>[4]valoraciones!$R17</f>
        <v>4.3500000000000005</v>
      </c>
      <c r="H7" s="5">
        <f>[5]valoraciones!$U17</f>
        <v>3.125</v>
      </c>
      <c r="I7" s="5">
        <f>[6]valoraciones!$U17</f>
        <v>4.2750000000000004</v>
      </c>
      <c r="J7" s="5">
        <f>[7]valoraciones!$U17</f>
        <v>4.2750000000000004</v>
      </c>
    </row>
    <row r="8" spans="1:10" x14ac:dyDescent="0.3">
      <c r="A8" s="2" t="s">
        <v>14</v>
      </c>
      <c r="B8" s="7">
        <v>1036258563</v>
      </c>
      <c r="C8" s="3">
        <v>6</v>
      </c>
      <c r="D8" s="5">
        <f>[1]valoraciones!$S18</f>
        <v>5</v>
      </c>
      <c r="E8" s="5">
        <f>[8]valoraciones!$T18</f>
        <v>3.2</v>
      </c>
      <c r="F8" s="5">
        <f>[3]valoraciones!$V18</f>
        <v>3.5200000000000005</v>
      </c>
      <c r="G8" s="5">
        <f>[4]valoraciones!$R18</f>
        <v>2.3283333333333331</v>
      </c>
      <c r="H8" s="5">
        <f>[5]valoraciones!$U18</f>
        <v>2.5200000000000005</v>
      </c>
      <c r="I8" s="5">
        <f>[6]valoraciones!$U18</f>
        <v>4.4450000000000003</v>
      </c>
      <c r="J8" s="5">
        <f>[7]valoraciones!$U18</f>
        <v>3.9575000000000005</v>
      </c>
    </row>
    <row r="9" spans="1:10" x14ac:dyDescent="0.3">
      <c r="A9" s="2" t="s">
        <v>15</v>
      </c>
      <c r="B9" s="7">
        <v>5</v>
      </c>
      <c r="C9" s="3">
        <v>6</v>
      </c>
      <c r="D9" s="5">
        <f>[1]valoraciones!$S19</f>
        <v>5</v>
      </c>
      <c r="E9" s="5">
        <f>[8]valoraciones!$T19</f>
        <v>4.2</v>
      </c>
      <c r="F9" s="5">
        <f>[3]valoraciones!$V19</f>
        <v>3.9699999999999998</v>
      </c>
      <c r="G9" s="5">
        <f>[4]valoraciones!$R19</f>
        <v>2.4699999999999998</v>
      </c>
      <c r="H9" s="5">
        <f>[5]valoraciones!$U19</f>
        <v>4.22</v>
      </c>
      <c r="I9" s="5">
        <f>[6]valoraciones!$U19</f>
        <v>4.5949999999999998</v>
      </c>
      <c r="J9" s="5">
        <f>[7]valoraciones!$U19</f>
        <v>4.5949999999999998</v>
      </c>
    </row>
    <row r="10" spans="1:10" x14ac:dyDescent="0.3">
      <c r="A10" s="2" t="s">
        <v>16</v>
      </c>
      <c r="B10" s="8">
        <v>8</v>
      </c>
      <c r="C10" s="3">
        <v>6</v>
      </c>
      <c r="D10" s="5">
        <f>[1]valoraciones!$S20</f>
        <v>5</v>
      </c>
      <c r="E10" s="5">
        <f>[8]valoraciones!$T20</f>
        <v>4.5</v>
      </c>
      <c r="F10" s="5">
        <f>[3]valoraciones!$V20</f>
        <v>3.75</v>
      </c>
      <c r="G10" s="5">
        <f>[4]valoraciones!$R20</f>
        <v>2.5750000000000002</v>
      </c>
      <c r="H10" s="5">
        <f>[5]valoraciones!$U20</f>
        <v>3.0633333333333335</v>
      </c>
      <c r="I10" s="5">
        <f>[6]valoraciones!$U20</f>
        <v>4.1350000000000007</v>
      </c>
      <c r="J10" s="5">
        <f>[7]valoraciones!$U20</f>
        <v>4.2</v>
      </c>
    </row>
    <row r="11" spans="1:10" x14ac:dyDescent="0.3">
      <c r="A11" s="2" t="s">
        <v>17</v>
      </c>
      <c r="B11" s="8">
        <v>9</v>
      </c>
      <c r="C11" s="3">
        <v>7</v>
      </c>
      <c r="D11" s="5">
        <f>[1]valoraciones!$S21</f>
        <v>5</v>
      </c>
      <c r="E11" s="5">
        <f>[8]valoraciones!$T21</f>
        <v>4.0999999999999996</v>
      </c>
      <c r="F11" s="5">
        <f>[3]valoraciones!$V21</f>
        <v>4.1349999999999998</v>
      </c>
      <c r="G11" s="5">
        <f>[4]valoraciones!$R21</f>
        <v>3.0433333333333334</v>
      </c>
      <c r="H11" s="5">
        <f>[5]valoraciones!$U21</f>
        <v>3.7666666666666671</v>
      </c>
      <c r="I11" s="5">
        <f>[6]valoraciones!$U21</f>
        <v>4.335</v>
      </c>
      <c r="J11" s="5">
        <f>[7]valoraciones!$U21</f>
        <v>4.335</v>
      </c>
    </row>
    <row r="12" spans="1:10" x14ac:dyDescent="0.3">
      <c r="A12" s="2" t="s">
        <v>18</v>
      </c>
      <c r="B12" s="7">
        <v>1115576678</v>
      </c>
      <c r="C12" s="3">
        <v>7</v>
      </c>
      <c r="D12" s="5">
        <f>[1]valoraciones!$S22</f>
        <v>5</v>
      </c>
      <c r="E12" s="5">
        <f>[8]valoraciones!$T22</f>
        <v>5</v>
      </c>
      <c r="F12" s="5">
        <f>[3]valoraciones!$V22</f>
        <v>3.2333333333333334</v>
      </c>
      <c r="G12" s="5">
        <f>[4]valoraciones!$R22</f>
        <v>3.05</v>
      </c>
      <c r="H12" s="5">
        <f>[5]valoraciones!$U22</f>
        <v>2.4750000000000001</v>
      </c>
      <c r="I12" s="5">
        <f>[6]valoraciones!$U22</f>
        <v>4.6749999999999998</v>
      </c>
      <c r="J12" s="5">
        <f>[7]valoraciones!$U22</f>
        <v>3.7</v>
      </c>
    </row>
    <row r="13" spans="1:10" x14ac:dyDescent="0.3">
      <c r="A13" s="2" t="s">
        <v>19</v>
      </c>
      <c r="B13" s="7">
        <v>1036945161</v>
      </c>
      <c r="C13" s="3">
        <v>7</v>
      </c>
      <c r="D13" s="5">
        <f>[1]valoraciones!$S23</f>
        <v>5</v>
      </c>
      <c r="E13" s="5">
        <f>[8]valoraciones!$T23</f>
        <v>4.2</v>
      </c>
      <c r="F13" s="5">
        <f>[3]valoraciones!$V23</f>
        <v>4.0949999999999998</v>
      </c>
      <c r="G13" s="5">
        <f>[4]valoraciones!$R23</f>
        <v>3.1783333333333337</v>
      </c>
      <c r="H13" s="5">
        <f>[5]valoraciones!$U23</f>
        <v>2.7450000000000001</v>
      </c>
      <c r="I13" s="5">
        <f>[6]valoraciones!$U23</f>
        <v>4.1950000000000003</v>
      </c>
      <c r="J13" s="5">
        <f>[7]valoraciones!$U23</f>
        <v>2.9925000000000002</v>
      </c>
    </row>
    <row r="14" spans="1:10" x14ac:dyDescent="0.3">
      <c r="A14" s="2" t="s">
        <v>20</v>
      </c>
      <c r="B14" s="7">
        <v>1037975509</v>
      </c>
      <c r="C14" s="3">
        <v>7</v>
      </c>
      <c r="D14" s="5">
        <f>[1]valoraciones!$S24</f>
        <v>5</v>
      </c>
      <c r="E14" s="5">
        <f>[8]valoraciones!$T24</f>
        <v>3.7</v>
      </c>
      <c r="F14" s="5">
        <f>[3]valoraciones!$V24</f>
        <v>3.8449999999999998</v>
      </c>
      <c r="G14" s="5">
        <f>[4]valoraciones!$R24</f>
        <v>2.8366666666666669</v>
      </c>
      <c r="H14" s="5">
        <f>[5]valoraciones!$U24</f>
        <v>4.0616666666666665</v>
      </c>
      <c r="I14" s="5">
        <f>[6]valoraciones!$U24</f>
        <v>4.2949999999999999</v>
      </c>
      <c r="J14" s="5">
        <f>[7]valoraciones!$U24</f>
        <v>4.2949999999999999</v>
      </c>
    </row>
    <row r="15" spans="1:10" x14ac:dyDescent="0.3">
      <c r="A15" s="2" t="s">
        <v>21</v>
      </c>
      <c r="B15" s="7">
        <v>1127955146</v>
      </c>
      <c r="C15" s="3">
        <v>8</v>
      </c>
      <c r="D15" s="5">
        <f>[1]valoraciones!$S25</f>
        <v>5</v>
      </c>
      <c r="E15" s="5">
        <f>[8]valoraciones!$T25</f>
        <v>4.2</v>
      </c>
      <c r="F15" s="5">
        <f>[3]valoraciones!$V25</f>
        <v>4.22</v>
      </c>
      <c r="G15" s="5">
        <f>[4]valoraciones!$R25</f>
        <v>3.9366666666666665</v>
      </c>
      <c r="H15" s="5">
        <f>[5]valoraciones!$U25</f>
        <v>3.9450000000000003</v>
      </c>
      <c r="I15" s="5">
        <f>[6]valoraciones!$U25</f>
        <v>4.3449999999999998</v>
      </c>
      <c r="J15" s="5">
        <f>[7]valoraciones!$U25</f>
        <v>4.3449999999999998</v>
      </c>
    </row>
    <row r="16" spans="1:10" x14ac:dyDescent="0.3">
      <c r="A16" s="2" t="s">
        <v>22</v>
      </c>
      <c r="B16" s="8">
        <v>14</v>
      </c>
      <c r="C16" s="3">
        <v>8</v>
      </c>
      <c r="D16" s="5">
        <f>[1]valoraciones!$S26</f>
        <v>5</v>
      </c>
      <c r="E16" s="5">
        <f>[8]valoraciones!$T26</f>
        <v>5</v>
      </c>
      <c r="F16" s="5">
        <f>[3]valoraciones!$V26</f>
        <v>3.9249999999999998</v>
      </c>
      <c r="G16" s="5">
        <f>[4]valoraciones!$R26</f>
        <v>4.0333333333333332</v>
      </c>
      <c r="H16" s="5">
        <f>[5]valoraciones!$U26</f>
        <v>3.8499999999999996</v>
      </c>
      <c r="I16" s="5">
        <f>[6]valoraciones!$U26</f>
        <v>4.375</v>
      </c>
      <c r="J16" s="5">
        <f>[7]valoraciones!$U26</f>
        <v>3.8875000000000002</v>
      </c>
    </row>
    <row r="17" spans="1:10" x14ac:dyDescent="0.3">
      <c r="A17" s="2" t="s">
        <v>23</v>
      </c>
      <c r="B17" s="7">
        <v>1050038422</v>
      </c>
      <c r="C17" s="3">
        <v>8</v>
      </c>
      <c r="D17" s="5">
        <f>[1]valoraciones!$S27</f>
        <v>5</v>
      </c>
      <c r="E17" s="5">
        <f>[8]valoraciones!$T27</f>
        <v>4.5999999999999996</v>
      </c>
      <c r="F17" s="5">
        <f>[3]valoraciones!$V27</f>
        <v>4.46</v>
      </c>
      <c r="G17" s="5">
        <f>[4]valoraciones!$R27</f>
        <v>4.6266666666666669</v>
      </c>
      <c r="H17" s="5">
        <f>[5]valoraciones!$U27</f>
        <v>4.2766666666666673</v>
      </c>
      <c r="I17" s="5">
        <f>[6]valoraciones!$U27</f>
        <v>4.71</v>
      </c>
      <c r="J17" s="5">
        <f>[7]valoraciones!$U27</f>
        <v>4.71</v>
      </c>
    </row>
    <row r="18" spans="1:10" x14ac:dyDescent="0.3">
      <c r="A18" s="2" t="s">
        <v>24</v>
      </c>
      <c r="B18" s="7">
        <v>1037974417</v>
      </c>
      <c r="C18" s="3">
        <v>8</v>
      </c>
      <c r="D18" s="5">
        <f>[1]valoraciones!$S28</f>
        <v>5</v>
      </c>
      <c r="E18" s="5">
        <f>[8]valoraciones!$T28</f>
        <v>4.4000000000000004</v>
      </c>
      <c r="F18" s="5">
        <f>[3]valoraciones!$V28</f>
        <v>4.1150000000000002</v>
      </c>
      <c r="G18" s="5">
        <f>[4]valoraciones!$R28</f>
        <v>3.4350000000000001</v>
      </c>
      <c r="H18" s="5">
        <f>[5]valoraciones!$U28</f>
        <v>3.2050000000000001</v>
      </c>
      <c r="I18" s="5">
        <f>[6]valoraciones!$U28</f>
        <v>4.1900000000000004</v>
      </c>
      <c r="J18" s="5">
        <f>[7]valoraciones!$U28</f>
        <v>3.6374999999999997</v>
      </c>
    </row>
    <row r="19" spans="1:10" x14ac:dyDescent="0.3">
      <c r="C19" s="1"/>
    </row>
    <row r="20" spans="1:10" x14ac:dyDescent="0.3">
      <c r="C20" s="1"/>
    </row>
    <row r="21" spans="1:10" x14ac:dyDescent="0.3">
      <c r="C21" s="1"/>
    </row>
  </sheetData>
  <conditionalFormatting sqref="D2:J1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Hugo Andres Paz Burbano</cp:lastModifiedBy>
  <dcterms:created xsi:type="dcterms:W3CDTF">2015-06-05T18:19:34Z</dcterms:created>
  <dcterms:modified xsi:type="dcterms:W3CDTF">2025-09-07T20:10:11Z</dcterms:modified>
</cp:coreProperties>
</file>