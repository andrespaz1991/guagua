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  <Override PartName="/xl/persons/person.xml" ContentType="application/vnd.ms-excel.person+xml"/>
  <Override PartName="/xl/richData/richValueRel.xml" ContentType="application/vnd.ms-excel.richvaluerel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PC_HANDRES\SEDUCA\La Josefina\Vallesol\2026\Valoraciones\"/>
    </mc:Choice>
  </mc:AlternateContent>
  <xr:revisionPtr revIDLastSave="0" documentId="13_ncr:1_{A50DDD54-EF54-417A-BE74-0731C23CA0F2}" xr6:coauthVersionLast="47" xr6:coauthVersionMax="47" xr10:uidLastSave="{00000000-0000-0000-0000-000000000000}"/>
  <bookViews>
    <workbookView xWindow="-108" yWindow="-108" windowWidth="23256" windowHeight="12456" firstSheet="1" activeTab="7" xr2:uid="{BB3592B3-09BD-4506-B55A-36DBF2803925}"/>
  </bookViews>
  <sheets>
    <sheet name="Enero" sheetId="1" r:id="rId1"/>
    <sheet name="Febrero" sheetId="12" r:id="rId2"/>
    <sheet name="Marzo" sheetId="22" r:id="rId3"/>
    <sheet name="Abril" sheetId="23" r:id="rId4"/>
    <sheet name="Mayo" sheetId="24" r:id="rId5"/>
    <sheet name="Junio" sheetId="25" r:id="rId6"/>
    <sheet name="Julio" sheetId="26" r:id="rId7"/>
    <sheet name="Agosto" sheetId="27" r:id="rId8"/>
    <sheet name="Septiembre" sheetId="28" r:id="rId9"/>
    <sheet name="Octubre" sheetId="29" r:id="rId10"/>
    <sheet name="Noviembre" sheetId="30" r:id="rId11"/>
  </sheets>
  <definedNames>
    <definedName name="_xlnm.Print_Area" localSheetId="0">Enero!$A$1:$AD$40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30" l="1"/>
  <c r="AA37" i="30"/>
  <c r="AB37" i="30"/>
  <c r="AC37" i="30"/>
  <c r="AD37" i="30"/>
  <c r="Z38" i="30"/>
  <c r="AA38" i="30"/>
  <c r="AB38" i="30"/>
  <c r="AC38" i="30"/>
  <c r="AD38" i="30"/>
  <c r="Z39" i="30"/>
  <c r="AA39" i="30"/>
  <c r="AB39" i="30"/>
  <c r="AC39" i="30"/>
  <c r="AD39" i="30"/>
  <c r="AC37" i="29"/>
  <c r="AD37" i="29"/>
  <c r="AE37" i="29"/>
  <c r="AG37" i="29" s="1"/>
  <c r="AF37" i="29"/>
  <c r="AC38" i="29"/>
  <c r="AD38" i="29"/>
  <c r="AE38" i="29"/>
  <c r="AF38" i="29"/>
  <c r="AG38" i="29"/>
  <c r="AC39" i="29"/>
  <c r="AD39" i="29"/>
  <c r="AE39" i="29"/>
  <c r="AF39" i="29"/>
  <c r="AG39" i="29"/>
  <c r="AD37" i="28"/>
  <c r="AE37" i="28"/>
  <c r="AF37" i="28"/>
  <c r="AG37" i="28"/>
  <c r="AH37" i="28"/>
  <c r="AD38" i="28"/>
  <c r="AE38" i="28"/>
  <c r="AF38" i="28"/>
  <c r="AH38" i="28" s="1"/>
  <c r="AG38" i="28"/>
  <c r="AD39" i="28"/>
  <c r="AE39" i="28"/>
  <c r="AF39" i="28"/>
  <c r="AH39" i="28" s="1"/>
  <c r="AG39" i="28"/>
  <c r="AA37" i="27"/>
  <c r="AB37" i="27"/>
  <c r="AC37" i="27"/>
  <c r="AD37" i="27"/>
  <c r="AA38" i="27"/>
  <c r="AB38" i="27"/>
  <c r="AC38" i="27"/>
  <c r="AD38" i="27"/>
  <c r="AA39" i="27"/>
  <c r="AB39" i="27"/>
  <c r="AC39" i="27"/>
  <c r="AD39" i="27"/>
  <c r="AE37" i="26"/>
  <c r="AF37" i="26"/>
  <c r="AG37" i="26"/>
  <c r="AH37" i="26"/>
  <c r="AE38" i="26"/>
  <c r="AF38" i="26"/>
  <c r="AG38" i="26"/>
  <c r="AH38" i="26"/>
  <c r="AE39" i="26"/>
  <c r="AF39" i="26"/>
  <c r="AG39" i="26"/>
  <c r="AH39" i="26"/>
  <c r="Z37" i="25"/>
  <c r="AA37" i="25"/>
  <c r="AB37" i="25"/>
  <c r="AC37" i="25"/>
  <c r="Z38" i="25"/>
  <c r="AA38" i="25"/>
  <c r="AB38" i="25"/>
  <c r="AC38" i="25"/>
  <c r="Z39" i="25"/>
  <c r="AA39" i="25"/>
  <c r="AB39" i="25"/>
  <c r="AC39" i="25"/>
  <c r="AE39" i="27" l="1"/>
  <c r="AE38" i="27"/>
  <c r="AE37" i="27"/>
  <c r="AI38" i="26"/>
  <c r="AI39" i="26"/>
  <c r="AI37" i="26"/>
  <c r="AD37" i="25"/>
  <c r="AD38" i="25"/>
  <c r="AD39" i="25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9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9" i="23"/>
  <c r="AA14" i="23" l="1"/>
  <c r="C40" i="23"/>
  <c r="B40" i="23"/>
  <c r="AB12" i="12" a="1"/>
  <c r="AB12" i="12" s="1"/>
  <c r="AG12" i="12" s="1"/>
  <c r="AA37" i="22" a="1"/>
  <c r="AA37" i="22" s="1"/>
  <c r="AF37" i="22" s="1"/>
  <c r="AB37" i="22"/>
  <c r="AC37" i="22"/>
  <c r="AD37" i="22"/>
  <c r="AE37" i="22"/>
  <c r="AA38" i="22" a="1"/>
  <c r="AA38" i="22"/>
  <c r="AF38" i="22" s="1"/>
  <c r="AB38" i="22"/>
  <c r="AC38" i="22"/>
  <c r="AD38" i="22"/>
  <c r="AE38" i="22"/>
  <c r="AA39" i="22" a="1"/>
  <c r="AA39" i="22" s="1"/>
  <c r="AF39" i="22" s="1"/>
  <c r="AB39" i="22"/>
  <c r="AC39" i="22"/>
  <c r="AD39" i="22"/>
  <c r="AE39" i="22"/>
  <c r="AA40" i="22" a="1"/>
  <c r="AA40" i="22" s="1"/>
  <c r="AF40" i="22" s="1"/>
  <c r="AB40" i="22"/>
  <c r="AC40" i="22"/>
  <c r="AD40" i="22"/>
  <c r="AE40" i="22"/>
  <c r="AA13" i="22" a="1"/>
  <c r="AA13" i="22" s="1"/>
  <c r="AF13" i="22" s="1"/>
  <c r="AA14" i="22" a="1"/>
  <c r="AA14" i="22" s="1"/>
  <c r="AF14" i="22" s="1"/>
  <c r="AA15" i="22" a="1"/>
  <c r="AA15" i="22" s="1"/>
  <c r="AF15" i="22" s="1"/>
  <c r="AA16" i="22" a="1"/>
  <c r="AA16" i="22" s="1"/>
  <c r="AF16" i="22" s="1"/>
  <c r="AA17" i="22" a="1"/>
  <c r="AA17" i="22" s="1"/>
  <c r="AF17" i="22" s="1"/>
  <c r="AA18" i="22" a="1"/>
  <c r="AA18" i="22" s="1"/>
  <c r="AF18" i="22" s="1"/>
  <c r="AA19" i="22" a="1"/>
  <c r="AA19" i="22" s="1"/>
  <c r="AF19" i="22" s="1"/>
  <c r="AA20" i="22" a="1"/>
  <c r="AA20" i="22" s="1"/>
  <c r="AF20" i="22" s="1"/>
  <c r="AA21" i="22" a="1"/>
  <c r="AA21" i="22" s="1"/>
  <c r="AF21" i="22" s="1"/>
  <c r="AA22" i="22" a="1"/>
  <c r="AA22" i="22" s="1"/>
  <c r="AF22" i="22" s="1"/>
  <c r="AA23" i="22" a="1"/>
  <c r="AA23" i="22" s="1"/>
  <c r="AF23" i="22" s="1"/>
  <c r="AA24" i="22" a="1"/>
  <c r="AA24" i="22" s="1"/>
  <c r="AF24" i="22" s="1"/>
  <c r="AA25" i="22" a="1"/>
  <c r="AA25" i="22" s="1"/>
  <c r="AF25" i="22" s="1"/>
  <c r="AA26" i="22" a="1"/>
  <c r="AA26" i="22" s="1"/>
  <c r="AF26" i="22" s="1"/>
  <c r="AA27" i="22" a="1"/>
  <c r="AA27" i="22" s="1"/>
  <c r="AF27" i="22" s="1"/>
  <c r="AA28" i="22" a="1"/>
  <c r="AA28" i="22" s="1"/>
  <c r="AF28" i="22" s="1"/>
  <c r="AA29" i="22" a="1"/>
  <c r="AA29" i="22" s="1"/>
  <c r="AF29" i="22" s="1"/>
  <c r="AA30" i="22" a="1"/>
  <c r="AA30" i="22" s="1"/>
  <c r="AF30" i="22" s="1"/>
  <c r="AA31" i="22" a="1"/>
  <c r="AA31" i="22" s="1"/>
  <c r="AF31" i="22" s="1"/>
  <c r="AA32" i="22" a="1"/>
  <c r="AA32" i="22" s="1"/>
  <c r="AF32" i="22" s="1"/>
  <c r="AA33" i="22" a="1"/>
  <c r="AA33" i="22" s="1"/>
  <c r="AF33" i="22" s="1"/>
  <c r="AA34" i="22" a="1"/>
  <c r="AA34" i="22" s="1"/>
  <c r="AF34" i="22" s="1"/>
  <c r="AA35" i="22" a="1"/>
  <c r="AA35" i="22" s="1"/>
  <c r="AF35" i="22" s="1"/>
  <c r="AA36" i="22" a="1"/>
  <c r="AA36" i="22" s="1"/>
  <c r="AF36" i="22" s="1"/>
  <c r="AA12" i="22" a="1"/>
  <c r="AA12" i="22" s="1"/>
  <c r="AF12" i="22" s="1"/>
  <c r="AB13" i="12" a="1"/>
  <c r="AB13" i="12" s="1"/>
  <c r="AG13" i="12" s="1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36" i="22"/>
  <c r="AD12" i="22"/>
  <c r="AE12" i="12"/>
  <c r="C40" i="22"/>
  <c r="B40" i="22"/>
  <c r="C39" i="22"/>
  <c r="B39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AG38" i="12"/>
  <c r="AC38" i="12"/>
  <c r="AD38" i="12"/>
  <c r="AE38" i="12"/>
  <c r="AF38" i="12"/>
  <c r="AG14" i="12"/>
  <c r="AG15" i="12"/>
  <c r="AG16" i="12"/>
  <c r="AG17" i="12"/>
  <c r="AG18" i="12"/>
  <c r="AG19" i="12"/>
  <c r="AG20" i="12"/>
  <c r="AG21" i="12"/>
  <c r="AG22" i="12"/>
  <c r="AG23" i="12"/>
  <c r="AG24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F12" i="12"/>
  <c r="AD12" i="12"/>
  <c r="AC12" i="12"/>
  <c r="AC13" i="12"/>
  <c r="AB38" i="12" a="1"/>
  <c r="AB38" i="12" s="1"/>
  <c r="AB39" i="12" a="1"/>
  <c r="AB39" i="12"/>
  <c r="AB40" i="12" a="1"/>
  <c r="AB40" i="12" s="1"/>
  <c r="AB14" i="12" a="1"/>
  <c r="AB14" i="12"/>
  <c r="AB15" i="12" a="1"/>
  <c r="AB15" i="12"/>
  <c r="AB16" i="12" a="1"/>
  <c r="AB16" i="12"/>
  <c r="AB17" i="12" a="1"/>
  <c r="AB17" i="12"/>
  <c r="AB18" i="12" a="1"/>
  <c r="AB18" i="12"/>
  <c r="AB19" i="12" a="1"/>
  <c r="AB19" i="12"/>
  <c r="AB20" i="12" a="1"/>
  <c r="AB20" i="12"/>
  <c r="AB21" i="12" a="1"/>
  <c r="AB21" i="12" s="1"/>
  <c r="AB22" i="12" a="1"/>
  <c r="AB22" i="12"/>
  <c r="AB23" i="12" a="1"/>
  <c r="AB23" i="12"/>
  <c r="AB24" i="12" a="1"/>
  <c r="AB24" i="12" s="1"/>
  <c r="AB25" i="12" a="1"/>
  <c r="AB25" i="12" s="1"/>
  <c r="AG25" i="12" s="1"/>
  <c r="AB26" i="12" a="1"/>
  <c r="AB26" i="12" s="1"/>
  <c r="AB27" i="12" a="1"/>
  <c r="AB27" i="12"/>
  <c r="AB28" i="12" a="1"/>
  <c r="AB28" i="12"/>
  <c r="AB29" i="12" a="1"/>
  <c r="AB29" i="12" s="1"/>
  <c r="AB30" i="12" a="1"/>
  <c r="AB30" i="12" s="1"/>
  <c r="AB31" i="12" a="1"/>
  <c r="AB31" i="12" s="1"/>
  <c r="AB32" i="12" a="1"/>
  <c r="AB32" i="12"/>
  <c r="AB33" i="12" a="1"/>
  <c r="AB33" i="12" s="1"/>
  <c r="AB34" i="12" a="1"/>
  <c r="AB34" i="12"/>
  <c r="AB35" i="12" a="1"/>
  <c r="AB35" i="12" s="1"/>
  <c r="AB36" i="12" a="1"/>
  <c r="AB36" i="12" s="1"/>
  <c r="AB37" i="12" a="1"/>
  <c r="AB37" i="12" s="1"/>
  <c r="P38" i="1"/>
  <c r="U38" i="1" s="1"/>
  <c r="Q38" i="1"/>
  <c r="R38" i="1"/>
  <c r="S38" i="1"/>
  <c r="T38" i="1"/>
  <c r="U16" i="1"/>
  <c r="U13" i="1"/>
  <c r="U14" i="1"/>
  <c r="U15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12" i="1"/>
  <c r="Q12" i="1"/>
  <c r="R12" i="1"/>
  <c r="S12" i="1"/>
  <c r="T12" i="1"/>
  <c r="AE13" i="12" l="1"/>
  <c r="AC39" i="12"/>
  <c r="AD39" i="12"/>
  <c r="AE39" i="12"/>
  <c r="AF39" i="12"/>
  <c r="AC40" i="12"/>
  <c r="AD40" i="12"/>
  <c r="AE40" i="12"/>
  <c r="AF40" i="12"/>
  <c r="B39" i="12"/>
  <c r="C39" i="12"/>
  <c r="B40" i="12"/>
  <c r="C40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13" i="12"/>
  <c r="P39" i="1"/>
  <c r="U39" i="1" s="1"/>
  <c r="P40" i="1"/>
  <c r="U40" i="1" s="1"/>
  <c r="Q29" i="1"/>
  <c r="R29" i="1"/>
  <c r="S29" i="1"/>
  <c r="T29" i="1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D13" i="12"/>
  <c r="Q14" i="1"/>
  <c r="R14" i="1"/>
  <c r="S14" i="1"/>
  <c r="T14" i="1"/>
  <c r="AG39" i="12" l="1"/>
  <c r="AG40" i="12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9" i="1"/>
  <c r="S40" i="1"/>
  <c r="S13" i="1"/>
  <c r="R13" i="1"/>
  <c r="AC36" i="30" l="1"/>
  <c r="AB36" i="30"/>
  <c r="AA36" i="30"/>
  <c r="Z36" i="30"/>
  <c r="AC35" i="30"/>
  <c r="AB35" i="30"/>
  <c r="AA35" i="30"/>
  <c r="Z35" i="30"/>
  <c r="AC34" i="30"/>
  <c r="AB34" i="30"/>
  <c r="AA34" i="30"/>
  <c r="Z34" i="30"/>
  <c r="AC33" i="30"/>
  <c r="AB33" i="30"/>
  <c r="AA33" i="30"/>
  <c r="Z33" i="30"/>
  <c r="AC32" i="30"/>
  <c r="AB32" i="30"/>
  <c r="AA32" i="30"/>
  <c r="Z32" i="30"/>
  <c r="AC31" i="30"/>
  <c r="AB31" i="30"/>
  <c r="AA31" i="30"/>
  <c r="Z31" i="30"/>
  <c r="AC30" i="30"/>
  <c r="AB30" i="30"/>
  <c r="AA30" i="30"/>
  <c r="Z30" i="30"/>
  <c r="AD30" i="30" s="1"/>
  <c r="AC29" i="30"/>
  <c r="AB29" i="30"/>
  <c r="AA29" i="30"/>
  <c r="Z29" i="30"/>
  <c r="AC28" i="30"/>
  <c r="AB28" i="30"/>
  <c r="AA28" i="30"/>
  <c r="Z28" i="30"/>
  <c r="AC27" i="30"/>
  <c r="AB27" i="30"/>
  <c r="AA27" i="30"/>
  <c r="Z27" i="30"/>
  <c r="AC26" i="30"/>
  <c r="AB26" i="30"/>
  <c r="AA26" i="30"/>
  <c r="Z26" i="30"/>
  <c r="AD26" i="30" s="1"/>
  <c r="AC25" i="30"/>
  <c r="AB25" i="30"/>
  <c r="AA25" i="30"/>
  <c r="Z25" i="30"/>
  <c r="AC24" i="30"/>
  <c r="AB24" i="30"/>
  <c r="AA24" i="30"/>
  <c r="Z24" i="30"/>
  <c r="AC23" i="30"/>
  <c r="AB23" i="30"/>
  <c r="AA23" i="30"/>
  <c r="Z23" i="30"/>
  <c r="AC22" i="30"/>
  <c r="AB22" i="30"/>
  <c r="AA22" i="30"/>
  <c r="Z22" i="30"/>
  <c r="AC21" i="30"/>
  <c r="AB21" i="30"/>
  <c r="AA21" i="30"/>
  <c r="Z21" i="30"/>
  <c r="AC20" i="30"/>
  <c r="AB20" i="30"/>
  <c r="AA20" i="30"/>
  <c r="Z20" i="30"/>
  <c r="AC19" i="30"/>
  <c r="AB19" i="30"/>
  <c r="AA19" i="30"/>
  <c r="Z19" i="30"/>
  <c r="AC18" i="30"/>
  <c r="AB18" i="30"/>
  <c r="AA18" i="30"/>
  <c r="Z18" i="30"/>
  <c r="AD18" i="30" s="1"/>
  <c r="AC17" i="30"/>
  <c r="AB17" i="30"/>
  <c r="AA17" i="30"/>
  <c r="Z17" i="30"/>
  <c r="AC16" i="30"/>
  <c r="AB16" i="30"/>
  <c r="AA16" i="30"/>
  <c r="Z16" i="30"/>
  <c r="AC15" i="30"/>
  <c r="AB15" i="30"/>
  <c r="AA15" i="30"/>
  <c r="Z15" i="30"/>
  <c r="AC14" i="30"/>
  <c r="AB14" i="30"/>
  <c r="AA14" i="30"/>
  <c r="Z14" i="30"/>
  <c r="AC13" i="30"/>
  <c r="AB13" i="30"/>
  <c r="AA13" i="30"/>
  <c r="Z13" i="30"/>
  <c r="AC12" i="30"/>
  <c r="AB12" i="30"/>
  <c r="AA12" i="30"/>
  <c r="Z12" i="30"/>
  <c r="AF36" i="29"/>
  <c r="AE36" i="29"/>
  <c r="AD36" i="29"/>
  <c r="AC36" i="29"/>
  <c r="AF35" i="29"/>
  <c r="AE35" i="29"/>
  <c r="AD35" i="29"/>
  <c r="AC35" i="29"/>
  <c r="AF34" i="29"/>
  <c r="AE34" i="29"/>
  <c r="AD34" i="29"/>
  <c r="AC34" i="29"/>
  <c r="AF33" i="29"/>
  <c r="AE33" i="29"/>
  <c r="AD33" i="29"/>
  <c r="AC33" i="29"/>
  <c r="AF32" i="29"/>
  <c r="AE32" i="29"/>
  <c r="AD32" i="29"/>
  <c r="AC32" i="29"/>
  <c r="AF31" i="29"/>
  <c r="AE31" i="29"/>
  <c r="AD31" i="29"/>
  <c r="AC31" i="29"/>
  <c r="AF30" i="29"/>
  <c r="AE30" i="29"/>
  <c r="AD30" i="29"/>
  <c r="AC30" i="29"/>
  <c r="AF29" i="29"/>
  <c r="AE29" i="29"/>
  <c r="AD29" i="29"/>
  <c r="AC29" i="29"/>
  <c r="AF28" i="29"/>
  <c r="AE28" i="29"/>
  <c r="AD28" i="29"/>
  <c r="AC28" i="29"/>
  <c r="AF27" i="29"/>
  <c r="AE27" i="29"/>
  <c r="AD27" i="29"/>
  <c r="AC27" i="29"/>
  <c r="AF26" i="29"/>
  <c r="AE26" i="29"/>
  <c r="AD26" i="29"/>
  <c r="AC26" i="29"/>
  <c r="AF25" i="29"/>
  <c r="AE25" i="29"/>
  <c r="AD25" i="29"/>
  <c r="AC25" i="29"/>
  <c r="AF24" i="29"/>
  <c r="AE24" i="29"/>
  <c r="AD24" i="29"/>
  <c r="AC24" i="29"/>
  <c r="AF23" i="29"/>
  <c r="AE23" i="29"/>
  <c r="AD23" i="29"/>
  <c r="AC23" i="29"/>
  <c r="AF22" i="29"/>
  <c r="AE22" i="29"/>
  <c r="AD22" i="29"/>
  <c r="AC22" i="29"/>
  <c r="AF21" i="29"/>
  <c r="AE21" i="29"/>
  <c r="AD21" i="29"/>
  <c r="AC21" i="29"/>
  <c r="AF20" i="29"/>
  <c r="AE20" i="29"/>
  <c r="AD20" i="29"/>
  <c r="AC20" i="29"/>
  <c r="AF19" i="29"/>
  <c r="AE19" i="29"/>
  <c r="AD19" i="29"/>
  <c r="AC19" i="29"/>
  <c r="AF18" i="29"/>
  <c r="AE18" i="29"/>
  <c r="AD18" i="29"/>
  <c r="AC18" i="29"/>
  <c r="AF17" i="29"/>
  <c r="AE17" i="29"/>
  <c r="AD17" i="29"/>
  <c r="AC17" i="29"/>
  <c r="AF16" i="29"/>
  <c r="AE16" i="29"/>
  <c r="AD16" i="29"/>
  <c r="AC16" i="29"/>
  <c r="AF15" i="29"/>
  <c r="AE15" i="29"/>
  <c r="AD15" i="29"/>
  <c r="AC15" i="29"/>
  <c r="AF14" i="29"/>
  <c r="AE14" i="29"/>
  <c r="AD14" i="29"/>
  <c r="AC14" i="29"/>
  <c r="AF13" i="29"/>
  <c r="AE13" i="29"/>
  <c r="AD13" i="29"/>
  <c r="AC13" i="29"/>
  <c r="AF12" i="29"/>
  <c r="AE12" i="29"/>
  <c r="AD12" i="29"/>
  <c r="AC12" i="29"/>
  <c r="AG36" i="28"/>
  <c r="AF36" i="28"/>
  <c r="AE36" i="28"/>
  <c r="AD36" i="28"/>
  <c r="AG35" i="28"/>
  <c r="AF35" i="28"/>
  <c r="AE35" i="28"/>
  <c r="AD35" i="28"/>
  <c r="AG34" i="28"/>
  <c r="AF34" i="28"/>
  <c r="AE34" i="28"/>
  <c r="AD34" i="28"/>
  <c r="AG33" i="28"/>
  <c r="AF33" i="28"/>
  <c r="AE33" i="28"/>
  <c r="AD33" i="28"/>
  <c r="AH33" i="28" s="1"/>
  <c r="AG32" i="28"/>
  <c r="AF32" i="28"/>
  <c r="AE32" i="28"/>
  <c r="AD32" i="28"/>
  <c r="AG31" i="28"/>
  <c r="AF31" i="28"/>
  <c r="AE31" i="28"/>
  <c r="AD31" i="28"/>
  <c r="AG30" i="28"/>
  <c r="AF30" i="28"/>
  <c r="AE30" i="28"/>
  <c r="AD30" i="28"/>
  <c r="AG29" i="28"/>
  <c r="AF29" i="28"/>
  <c r="AE29" i="28"/>
  <c r="AD29" i="28"/>
  <c r="AG28" i="28"/>
  <c r="AF28" i="28"/>
  <c r="AE28" i="28"/>
  <c r="AD28" i="28"/>
  <c r="AG27" i="28"/>
  <c r="AF27" i="28"/>
  <c r="AE27" i="28"/>
  <c r="AD27" i="28"/>
  <c r="AG26" i="28"/>
  <c r="AF26" i="28"/>
  <c r="AE26" i="28"/>
  <c r="AD26" i="28"/>
  <c r="AG25" i="28"/>
  <c r="AF25" i="28"/>
  <c r="AE25" i="28"/>
  <c r="AD25" i="28"/>
  <c r="AG24" i="28"/>
  <c r="AF24" i="28"/>
  <c r="AE24" i="28"/>
  <c r="AD24" i="28"/>
  <c r="AG23" i="28"/>
  <c r="AF23" i="28"/>
  <c r="AE23" i="28"/>
  <c r="AD23" i="28"/>
  <c r="AG22" i="28"/>
  <c r="AF22" i="28"/>
  <c r="AE22" i="28"/>
  <c r="AD22" i="28"/>
  <c r="AG21" i="28"/>
  <c r="AF21" i="28"/>
  <c r="AE21" i="28"/>
  <c r="AD21" i="28"/>
  <c r="AG20" i="28"/>
  <c r="AF20" i="28"/>
  <c r="AE20" i="28"/>
  <c r="AD20" i="28"/>
  <c r="AG19" i="28"/>
  <c r="AF19" i="28"/>
  <c r="AE19" i="28"/>
  <c r="AD19" i="28"/>
  <c r="AG18" i="28"/>
  <c r="AF18" i="28"/>
  <c r="AE18" i="28"/>
  <c r="AD18" i="28"/>
  <c r="AG17" i="28"/>
  <c r="AF17" i="28"/>
  <c r="AE17" i="28"/>
  <c r="AD17" i="28"/>
  <c r="AG16" i="28"/>
  <c r="AF16" i="28"/>
  <c r="AE16" i="28"/>
  <c r="AD16" i="28"/>
  <c r="AG15" i="28"/>
  <c r="AF15" i="28"/>
  <c r="AE15" i="28"/>
  <c r="AD15" i="28"/>
  <c r="AG14" i="28"/>
  <c r="AF14" i="28"/>
  <c r="AE14" i="28"/>
  <c r="AD14" i="28"/>
  <c r="AG13" i="28"/>
  <c r="AF13" i="28"/>
  <c r="AE13" i="28"/>
  <c r="AD13" i="28"/>
  <c r="AH13" i="28" s="1"/>
  <c r="AG12" i="28"/>
  <c r="AF12" i="28"/>
  <c r="AE12" i="28"/>
  <c r="AD12" i="28"/>
  <c r="AD36" i="27"/>
  <c r="AC36" i="27"/>
  <c r="AB36" i="27"/>
  <c r="AA36" i="27"/>
  <c r="AD35" i="27"/>
  <c r="AC35" i="27"/>
  <c r="AB35" i="27"/>
  <c r="AA35" i="27"/>
  <c r="AD34" i="27"/>
  <c r="AC34" i="27"/>
  <c r="AB34" i="27"/>
  <c r="AA34" i="27"/>
  <c r="AD33" i="27"/>
  <c r="AC33" i="27"/>
  <c r="AB33" i="27"/>
  <c r="AA33" i="27"/>
  <c r="AD32" i="27"/>
  <c r="AC32" i="27"/>
  <c r="AB32" i="27"/>
  <c r="AA32" i="27"/>
  <c r="AD31" i="27"/>
  <c r="AC31" i="27"/>
  <c r="AB31" i="27"/>
  <c r="AA31" i="27"/>
  <c r="AD30" i="27"/>
  <c r="AC30" i="27"/>
  <c r="AB30" i="27"/>
  <c r="AA30" i="27"/>
  <c r="AD29" i="27"/>
  <c r="AC29" i="27"/>
  <c r="AB29" i="27"/>
  <c r="AA29" i="27"/>
  <c r="AD28" i="27"/>
  <c r="AC28" i="27"/>
  <c r="AB28" i="27"/>
  <c r="AA28" i="27"/>
  <c r="AD27" i="27"/>
  <c r="AC27" i="27"/>
  <c r="AB27" i="27"/>
  <c r="AA27" i="27"/>
  <c r="AD26" i="27"/>
  <c r="AC26" i="27"/>
  <c r="AB26" i="27"/>
  <c r="AA26" i="27"/>
  <c r="AD25" i="27"/>
  <c r="AC25" i="27"/>
  <c r="AB25" i="27"/>
  <c r="AA25" i="27"/>
  <c r="AD24" i="27"/>
  <c r="AC24" i="27"/>
  <c r="AB24" i="27"/>
  <c r="AA24" i="27"/>
  <c r="AD23" i="27"/>
  <c r="AC23" i="27"/>
  <c r="AB23" i="27"/>
  <c r="AA23" i="27"/>
  <c r="AD22" i="27"/>
  <c r="AC22" i="27"/>
  <c r="AB22" i="27"/>
  <c r="AA22" i="27"/>
  <c r="AD21" i="27"/>
  <c r="AC21" i="27"/>
  <c r="AB21" i="27"/>
  <c r="AA21" i="27"/>
  <c r="AD20" i="27"/>
  <c r="AC20" i="27"/>
  <c r="AB20" i="27"/>
  <c r="AA20" i="27"/>
  <c r="AD19" i="27"/>
  <c r="AC19" i="27"/>
  <c r="AB19" i="27"/>
  <c r="AA19" i="27"/>
  <c r="AD18" i="27"/>
  <c r="AC18" i="27"/>
  <c r="AB18" i="27"/>
  <c r="AA18" i="27"/>
  <c r="AD17" i="27"/>
  <c r="AC17" i="27"/>
  <c r="AB17" i="27"/>
  <c r="AA17" i="27"/>
  <c r="AD16" i="27"/>
  <c r="AC16" i="27"/>
  <c r="AB16" i="27"/>
  <c r="AA16" i="27"/>
  <c r="AD15" i="27"/>
  <c r="AC15" i="27"/>
  <c r="AB15" i="27"/>
  <c r="AA15" i="27"/>
  <c r="AD14" i="27"/>
  <c r="AC14" i="27"/>
  <c r="AB14" i="27"/>
  <c r="AA14" i="27"/>
  <c r="AD13" i="27"/>
  <c r="AC13" i="27"/>
  <c r="AB13" i="27"/>
  <c r="AA13" i="27"/>
  <c r="AD12" i="27"/>
  <c r="AC12" i="27"/>
  <c r="AB12" i="27"/>
  <c r="AA12" i="27"/>
  <c r="AH36" i="26"/>
  <c r="AG36" i="26"/>
  <c r="AF36" i="26"/>
  <c r="AE36" i="26"/>
  <c r="AH35" i="26"/>
  <c r="AG35" i="26"/>
  <c r="AF35" i="26"/>
  <c r="AE35" i="26"/>
  <c r="AH34" i="26"/>
  <c r="AG34" i="26"/>
  <c r="AF34" i="26"/>
  <c r="AE34" i="26"/>
  <c r="AH33" i="26"/>
  <c r="AG33" i="26"/>
  <c r="AF33" i="26"/>
  <c r="AE33" i="26"/>
  <c r="AH32" i="26"/>
  <c r="AG32" i="26"/>
  <c r="AF32" i="26"/>
  <c r="AE32" i="26"/>
  <c r="AH31" i="26"/>
  <c r="AG31" i="26"/>
  <c r="AF31" i="26"/>
  <c r="AE31" i="26"/>
  <c r="AH30" i="26"/>
  <c r="AG30" i="26"/>
  <c r="AF30" i="26"/>
  <c r="AE30" i="26"/>
  <c r="AH29" i="26"/>
  <c r="AG29" i="26"/>
  <c r="AF29" i="26"/>
  <c r="AE29" i="26"/>
  <c r="AH28" i="26"/>
  <c r="AG28" i="26"/>
  <c r="AF28" i="26"/>
  <c r="AE28" i="26"/>
  <c r="AH27" i="26"/>
  <c r="AG27" i="26"/>
  <c r="AF27" i="26"/>
  <c r="AE27" i="26"/>
  <c r="AH26" i="26"/>
  <c r="AG26" i="26"/>
  <c r="AF26" i="26"/>
  <c r="AE26" i="26"/>
  <c r="AH25" i="26"/>
  <c r="AG25" i="26"/>
  <c r="AF25" i="26"/>
  <c r="AE25" i="26"/>
  <c r="AH24" i="26"/>
  <c r="AG24" i="26"/>
  <c r="AF24" i="26"/>
  <c r="AE24" i="26"/>
  <c r="AH23" i="26"/>
  <c r="AG23" i="26"/>
  <c r="AF23" i="26"/>
  <c r="AE23" i="26"/>
  <c r="AH22" i="26"/>
  <c r="AG22" i="26"/>
  <c r="AF22" i="26"/>
  <c r="AE22" i="26"/>
  <c r="AH21" i="26"/>
  <c r="AG21" i="26"/>
  <c r="AF21" i="26"/>
  <c r="AE21" i="26"/>
  <c r="AH20" i="26"/>
  <c r="AG20" i="26"/>
  <c r="AF20" i="26"/>
  <c r="AE20" i="26"/>
  <c r="AH19" i="26"/>
  <c r="AG19" i="26"/>
  <c r="AF19" i="26"/>
  <c r="AE19" i="26"/>
  <c r="AH18" i="26"/>
  <c r="AG18" i="26"/>
  <c r="AF18" i="26"/>
  <c r="AE18" i="26"/>
  <c r="AH17" i="26"/>
  <c r="AG17" i="26"/>
  <c r="AF17" i="26"/>
  <c r="AE17" i="26"/>
  <c r="AH16" i="26"/>
  <c r="AG16" i="26"/>
  <c r="AF16" i="26"/>
  <c r="AE16" i="26"/>
  <c r="AH15" i="26"/>
  <c r="AG15" i="26"/>
  <c r="AF15" i="26"/>
  <c r="AE15" i="26"/>
  <c r="AH14" i="26"/>
  <c r="AG14" i="26"/>
  <c r="AF14" i="26"/>
  <c r="AE14" i="26"/>
  <c r="AH13" i="26"/>
  <c r="AG13" i="26"/>
  <c r="AF13" i="26"/>
  <c r="AE13" i="26"/>
  <c r="AH12" i="26"/>
  <c r="AG12" i="26"/>
  <c r="AF12" i="26"/>
  <c r="AE12" i="26"/>
  <c r="AC36" i="25"/>
  <c r="AB36" i="25"/>
  <c r="AA36" i="25"/>
  <c r="Z36" i="25"/>
  <c r="AC35" i="25"/>
  <c r="AB35" i="25"/>
  <c r="AA35" i="25"/>
  <c r="Z35" i="25"/>
  <c r="AC34" i="25"/>
  <c r="AB34" i="25"/>
  <c r="AA34" i="25"/>
  <c r="Z34" i="25"/>
  <c r="AC33" i="25"/>
  <c r="AB33" i="25"/>
  <c r="AA33" i="25"/>
  <c r="Z33" i="25"/>
  <c r="AC32" i="25"/>
  <c r="AB32" i="25"/>
  <c r="AA32" i="25"/>
  <c r="Z32" i="25"/>
  <c r="AC31" i="25"/>
  <c r="AB31" i="25"/>
  <c r="AA31" i="25"/>
  <c r="Z31" i="25"/>
  <c r="AC30" i="25"/>
  <c r="AB30" i="25"/>
  <c r="AA30" i="25"/>
  <c r="Z30" i="25"/>
  <c r="AC29" i="25"/>
  <c r="AB29" i="25"/>
  <c r="AA29" i="25"/>
  <c r="Z29" i="25"/>
  <c r="AC28" i="25"/>
  <c r="AB28" i="25"/>
  <c r="AA28" i="25"/>
  <c r="Z28" i="25"/>
  <c r="AC27" i="25"/>
  <c r="AB27" i="25"/>
  <c r="AA27" i="25"/>
  <c r="Z27" i="25"/>
  <c r="AC26" i="25"/>
  <c r="AB26" i="25"/>
  <c r="AA26" i="25"/>
  <c r="Z26" i="25"/>
  <c r="AD26" i="25" s="1"/>
  <c r="AC25" i="25"/>
  <c r="AB25" i="25"/>
  <c r="AA25" i="25"/>
  <c r="Z25" i="25"/>
  <c r="AC24" i="25"/>
  <c r="AB24" i="25"/>
  <c r="AA24" i="25"/>
  <c r="Z24" i="25"/>
  <c r="AC23" i="25"/>
  <c r="AB23" i="25"/>
  <c r="AA23" i="25"/>
  <c r="Z23" i="25"/>
  <c r="AC22" i="25"/>
  <c r="AB22" i="25"/>
  <c r="AA22" i="25"/>
  <c r="Z22" i="25"/>
  <c r="AC21" i="25"/>
  <c r="AB21" i="25"/>
  <c r="AA21" i="25"/>
  <c r="Z21" i="25"/>
  <c r="AC20" i="25"/>
  <c r="AB20" i="25"/>
  <c r="AA20" i="25"/>
  <c r="Z20" i="25"/>
  <c r="AC19" i="25"/>
  <c r="AB19" i="25"/>
  <c r="AA19" i="25"/>
  <c r="Z19" i="25"/>
  <c r="AC18" i="25"/>
  <c r="AB18" i="25"/>
  <c r="AA18" i="25"/>
  <c r="Z18" i="25"/>
  <c r="AC17" i="25"/>
  <c r="AB17" i="25"/>
  <c r="AA17" i="25"/>
  <c r="Z17" i="25"/>
  <c r="AC16" i="25"/>
  <c r="AB16" i="25"/>
  <c r="AA16" i="25"/>
  <c r="Z16" i="25"/>
  <c r="AC15" i="25"/>
  <c r="AB15" i="25"/>
  <c r="AA15" i="25"/>
  <c r="Z15" i="25"/>
  <c r="AC14" i="25"/>
  <c r="AB14" i="25"/>
  <c r="AA14" i="25"/>
  <c r="Z14" i="25"/>
  <c r="AD14" i="25" s="1"/>
  <c r="AC13" i="25"/>
  <c r="AB13" i="25"/>
  <c r="AA13" i="25"/>
  <c r="Z13" i="25"/>
  <c r="AC12" i="25"/>
  <c r="AB12" i="25"/>
  <c r="AA12" i="25"/>
  <c r="Z12" i="25"/>
  <c r="AD36" i="24"/>
  <c r="AC36" i="24"/>
  <c r="AB36" i="24"/>
  <c r="AA36" i="24"/>
  <c r="AE36" i="24" s="1"/>
  <c r="AD35" i="24"/>
  <c r="AC35" i="24"/>
  <c r="AB35" i="24"/>
  <c r="AA35" i="24"/>
  <c r="AD34" i="24"/>
  <c r="AC34" i="24"/>
  <c r="AB34" i="24"/>
  <c r="AA34" i="24"/>
  <c r="AE34" i="24" s="1"/>
  <c r="AD33" i="24"/>
  <c r="AC33" i="24"/>
  <c r="AB33" i="24"/>
  <c r="AA33" i="24"/>
  <c r="AD32" i="24"/>
  <c r="AC32" i="24"/>
  <c r="AB32" i="24"/>
  <c r="AA32" i="24"/>
  <c r="AD31" i="24"/>
  <c r="AC31" i="24"/>
  <c r="AB31" i="24"/>
  <c r="AA31" i="24"/>
  <c r="AD30" i="24"/>
  <c r="AC30" i="24"/>
  <c r="AB30" i="24"/>
  <c r="AA30" i="24"/>
  <c r="AE30" i="24" s="1"/>
  <c r="AD29" i="24"/>
  <c r="AC29" i="24"/>
  <c r="AB29" i="24"/>
  <c r="AA29" i="24"/>
  <c r="AD28" i="24"/>
  <c r="AC28" i="24"/>
  <c r="AB28" i="24"/>
  <c r="AA28" i="24"/>
  <c r="AE28" i="24" s="1"/>
  <c r="AD27" i="24"/>
  <c r="AC27" i="24"/>
  <c r="AB27" i="24"/>
  <c r="AA27" i="24"/>
  <c r="AD26" i="24"/>
  <c r="AC26" i="24"/>
  <c r="AB26" i="24"/>
  <c r="AA26" i="24"/>
  <c r="AD25" i="24"/>
  <c r="AC25" i="24"/>
  <c r="AB25" i="24"/>
  <c r="AA25" i="24"/>
  <c r="AD24" i="24"/>
  <c r="AC24" i="24"/>
  <c r="AB24" i="24"/>
  <c r="AA24" i="24"/>
  <c r="AD23" i="24"/>
  <c r="AC23" i="24"/>
  <c r="AB23" i="24"/>
  <c r="AA23" i="24"/>
  <c r="AD22" i="24"/>
  <c r="AC22" i="24"/>
  <c r="AB22" i="24"/>
  <c r="AA22" i="24"/>
  <c r="AE22" i="24" s="1"/>
  <c r="AD21" i="24"/>
  <c r="AC21" i="24"/>
  <c r="AB21" i="24"/>
  <c r="AA21" i="24"/>
  <c r="AD20" i="24"/>
  <c r="AC20" i="24"/>
  <c r="AB20" i="24"/>
  <c r="AA20" i="24"/>
  <c r="AD19" i="24"/>
  <c r="AC19" i="24"/>
  <c r="AB19" i="24"/>
  <c r="AA19" i="24"/>
  <c r="AD18" i="24"/>
  <c r="AC18" i="24"/>
  <c r="AB18" i="24"/>
  <c r="AA18" i="24"/>
  <c r="AE18" i="24" s="1"/>
  <c r="AD17" i="24"/>
  <c r="AC17" i="24"/>
  <c r="AB17" i="24"/>
  <c r="AA17" i="24"/>
  <c r="AD16" i="24"/>
  <c r="AC16" i="24"/>
  <c r="AB16" i="24"/>
  <c r="AA16" i="24"/>
  <c r="AD15" i="24"/>
  <c r="AC15" i="24"/>
  <c r="AB15" i="24"/>
  <c r="AA15" i="24"/>
  <c r="AD14" i="24"/>
  <c r="AC14" i="24"/>
  <c r="AB14" i="24"/>
  <c r="AA14" i="24"/>
  <c r="AD13" i="24"/>
  <c r="AC13" i="24"/>
  <c r="AB13" i="24"/>
  <c r="AA13" i="24"/>
  <c r="AD12" i="24"/>
  <c r="AC12" i="24"/>
  <c r="AB12" i="24"/>
  <c r="AA12" i="24"/>
  <c r="AD36" i="23"/>
  <c r="AC36" i="23"/>
  <c r="AB36" i="23"/>
  <c r="AA36" i="23"/>
  <c r="AE36" i="23" s="1"/>
  <c r="AD35" i="23"/>
  <c r="AC35" i="23"/>
  <c r="AB35" i="23"/>
  <c r="AA35" i="23"/>
  <c r="AE35" i="23" s="1"/>
  <c r="AD34" i="23"/>
  <c r="AC34" i="23"/>
  <c r="AB34" i="23"/>
  <c r="AA34" i="23"/>
  <c r="AE34" i="23" s="1"/>
  <c r="AD33" i="23"/>
  <c r="AC33" i="23"/>
  <c r="AB33" i="23"/>
  <c r="AA33" i="23"/>
  <c r="AE33" i="23" s="1"/>
  <c r="AD32" i="23"/>
  <c r="AC32" i="23"/>
  <c r="AB32" i="23"/>
  <c r="AA32" i="23"/>
  <c r="AE32" i="23" s="1"/>
  <c r="AD31" i="23"/>
  <c r="AC31" i="23"/>
  <c r="AB31" i="23"/>
  <c r="AA31" i="23"/>
  <c r="AD30" i="23"/>
  <c r="AC30" i="23"/>
  <c r="AB30" i="23"/>
  <c r="AA30" i="23"/>
  <c r="AD29" i="23"/>
  <c r="AC29" i="23"/>
  <c r="AB29" i="23"/>
  <c r="AA29" i="23"/>
  <c r="AD28" i="23"/>
  <c r="AC28" i="23"/>
  <c r="AB28" i="23"/>
  <c r="AA28" i="23"/>
  <c r="AE28" i="23" s="1"/>
  <c r="AD27" i="23"/>
  <c r="AC27" i="23"/>
  <c r="AB27" i="23"/>
  <c r="AA27" i="23"/>
  <c r="AD26" i="23"/>
  <c r="AC26" i="23"/>
  <c r="AB26" i="23"/>
  <c r="AA26" i="23"/>
  <c r="AD25" i="23"/>
  <c r="AC25" i="23"/>
  <c r="AB25" i="23"/>
  <c r="AA25" i="23"/>
  <c r="AD24" i="23"/>
  <c r="AC24" i="23"/>
  <c r="AB24" i="23"/>
  <c r="AA24" i="23"/>
  <c r="AE24" i="23" s="1"/>
  <c r="AD23" i="23"/>
  <c r="AC23" i="23"/>
  <c r="AB23" i="23"/>
  <c r="AA23" i="23"/>
  <c r="AD22" i="23"/>
  <c r="AC22" i="23"/>
  <c r="AB22" i="23"/>
  <c r="AA22" i="23"/>
  <c r="AD21" i="23"/>
  <c r="AC21" i="23"/>
  <c r="AB21" i="23"/>
  <c r="AA21" i="23"/>
  <c r="AD20" i="23"/>
  <c r="AC20" i="23"/>
  <c r="AB20" i="23"/>
  <c r="AA20" i="23"/>
  <c r="AE20" i="23" s="1"/>
  <c r="AD19" i="23"/>
  <c r="AC19" i="23"/>
  <c r="AB19" i="23"/>
  <c r="AA19" i="23"/>
  <c r="AD18" i="23"/>
  <c r="AC18" i="23"/>
  <c r="AB18" i="23"/>
  <c r="AA18" i="23"/>
  <c r="AD17" i="23"/>
  <c r="AC17" i="23"/>
  <c r="AB17" i="23"/>
  <c r="AA17" i="23"/>
  <c r="AD16" i="23"/>
  <c r="AC16" i="23"/>
  <c r="AB16" i="23"/>
  <c r="AA16" i="23"/>
  <c r="AE16" i="23" s="1"/>
  <c r="AD15" i="23"/>
  <c r="AC15" i="23"/>
  <c r="AB15" i="23"/>
  <c r="AA15" i="23"/>
  <c r="AD14" i="23"/>
  <c r="AC14" i="23"/>
  <c r="AB14" i="23"/>
  <c r="AD13" i="23"/>
  <c r="AC13" i="23"/>
  <c r="AB13" i="23"/>
  <c r="AA13" i="23"/>
  <c r="AD12" i="23"/>
  <c r="AC12" i="23"/>
  <c r="AB12" i="23"/>
  <c r="AA12" i="23"/>
  <c r="AE12" i="23" s="1"/>
  <c r="AE36" i="22"/>
  <c r="AC36" i="22"/>
  <c r="AB36" i="22"/>
  <c r="AE35" i="22"/>
  <c r="AC35" i="22"/>
  <c r="AB35" i="22"/>
  <c r="AE34" i="22"/>
  <c r="AC34" i="22"/>
  <c r="AB34" i="22"/>
  <c r="AE33" i="22"/>
  <c r="AC33" i="22"/>
  <c r="AB33" i="22"/>
  <c r="AE32" i="22"/>
  <c r="AC32" i="22"/>
  <c r="AB32" i="22"/>
  <c r="AE31" i="22"/>
  <c r="AC31" i="22"/>
  <c r="AB31" i="22"/>
  <c r="AE30" i="22"/>
  <c r="AC30" i="22"/>
  <c r="AB30" i="22"/>
  <c r="AE29" i="22"/>
  <c r="AC29" i="22"/>
  <c r="AB29" i="22"/>
  <c r="AE28" i="22"/>
  <c r="AC28" i="22"/>
  <c r="AB28" i="22"/>
  <c r="AE27" i="22"/>
  <c r="AC27" i="22"/>
  <c r="AB27" i="22"/>
  <c r="AE26" i="22"/>
  <c r="AC26" i="22"/>
  <c r="AB26" i="22"/>
  <c r="AE25" i="22"/>
  <c r="AC25" i="22"/>
  <c r="AB25" i="22"/>
  <c r="AE24" i="22"/>
  <c r="AC24" i="22"/>
  <c r="AB24" i="22"/>
  <c r="AE23" i="22"/>
  <c r="AC23" i="22"/>
  <c r="AB23" i="22"/>
  <c r="AE22" i="22"/>
  <c r="AC22" i="22"/>
  <c r="AB22" i="22"/>
  <c r="AE21" i="22"/>
  <c r="AC21" i="22"/>
  <c r="AB21" i="22"/>
  <c r="AE20" i="22"/>
  <c r="AC20" i="22"/>
  <c r="AB20" i="22"/>
  <c r="AE19" i="22"/>
  <c r="AC19" i="22"/>
  <c r="AB19" i="22"/>
  <c r="AE18" i="22"/>
  <c r="AC18" i="22"/>
  <c r="AB18" i="22"/>
  <c r="AE17" i="22"/>
  <c r="AC17" i="22"/>
  <c r="AB17" i="22"/>
  <c r="AE16" i="22"/>
  <c r="AC16" i="22"/>
  <c r="AB16" i="22"/>
  <c r="AE15" i="22"/>
  <c r="AC15" i="22"/>
  <c r="AB15" i="22"/>
  <c r="AE14" i="22"/>
  <c r="AC14" i="22"/>
  <c r="AB14" i="22"/>
  <c r="AE13" i="22"/>
  <c r="AC13" i="22"/>
  <c r="AB13" i="22"/>
  <c r="AE12" i="22"/>
  <c r="AC12" i="22"/>
  <c r="AB12" i="22"/>
  <c r="AF37" i="12"/>
  <c r="AD37" i="12"/>
  <c r="AC37" i="12"/>
  <c r="AF36" i="12"/>
  <c r="AD36" i="12"/>
  <c r="AC36" i="12"/>
  <c r="AF35" i="12"/>
  <c r="AD35" i="12"/>
  <c r="AC35" i="12"/>
  <c r="AF34" i="12"/>
  <c r="AD34" i="12"/>
  <c r="AC34" i="12"/>
  <c r="AF33" i="12"/>
  <c r="AD33" i="12"/>
  <c r="AC33" i="12"/>
  <c r="AF32" i="12"/>
  <c r="AD32" i="12"/>
  <c r="AC32" i="12"/>
  <c r="AF31" i="12"/>
  <c r="AD31" i="12"/>
  <c r="AC31" i="12"/>
  <c r="AF30" i="12"/>
  <c r="AD30" i="12"/>
  <c r="AC30" i="12"/>
  <c r="AF29" i="12"/>
  <c r="AD29" i="12"/>
  <c r="AC29" i="12"/>
  <c r="AF28" i="12"/>
  <c r="AD28" i="12"/>
  <c r="AC28" i="12"/>
  <c r="AF27" i="12"/>
  <c r="AD27" i="12"/>
  <c r="AC27" i="12"/>
  <c r="AF26" i="12"/>
  <c r="AD26" i="12"/>
  <c r="AC26" i="12"/>
  <c r="AF25" i="12"/>
  <c r="AD25" i="12"/>
  <c r="AC25" i="12"/>
  <c r="AF24" i="12"/>
  <c r="AD24" i="12"/>
  <c r="AC24" i="12"/>
  <c r="AF23" i="12"/>
  <c r="AD23" i="12"/>
  <c r="AC23" i="12"/>
  <c r="AF22" i="12"/>
  <c r="AD22" i="12"/>
  <c r="AC22" i="12"/>
  <c r="AF21" i="12"/>
  <c r="AD21" i="12"/>
  <c r="AC21" i="12"/>
  <c r="AF20" i="12"/>
  <c r="AD20" i="12"/>
  <c r="AC20" i="12"/>
  <c r="AF19" i="12"/>
  <c r="AD19" i="12"/>
  <c r="AC19" i="12"/>
  <c r="AF18" i="12"/>
  <c r="AD18" i="12"/>
  <c r="AC18" i="12"/>
  <c r="AF17" i="12"/>
  <c r="AD17" i="12"/>
  <c r="AC17" i="12"/>
  <c r="AF16" i="12"/>
  <c r="AD16" i="12"/>
  <c r="AC16" i="12"/>
  <c r="AF15" i="12"/>
  <c r="AD15" i="12"/>
  <c r="AC15" i="12"/>
  <c r="AF14" i="12"/>
  <c r="AD14" i="12"/>
  <c r="AC14" i="12"/>
  <c r="AF13" i="12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9" i="1"/>
  <c r="R40" i="1"/>
  <c r="T26" i="1"/>
  <c r="T27" i="1"/>
  <c r="T28" i="1"/>
  <c r="T30" i="1"/>
  <c r="T31" i="1"/>
  <c r="T32" i="1"/>
  <c r="T33" i="1"/>
  <c r="T34" i="1"/>
  <c r="T35" i="1"/>
  <c r="T36" i="1"/>
  <c r="T37" i="1"/>
  <c r="T39" i="1"/>
  <c r="T40" i="1"/>
  <c r="Q26" i="1"/>
  <c r="Q27" i="1"/>
  <c r="Q28" i="1"/>
  <c r="Q30" i="1"/>
  <c r="Q31" i="1"/>
  <c r="Q32" i="1"/>
  <c r="Q33" i="1"/>
  <c r="Q34" i="1"/>
  <c r="Q35" i="1"/>
  <c r="Q36" i="1"/>
  <c r="Q37" i="1"/>
  <c r="Q39" i="1"/>
  <c r="Q40" i="1"/>
  <c r="T13" i="1"/>
  <c r="Q13" i="1"/>
  <c r="T15" i="1"/>
  <c r="Q15" i="1"/>
  <c r="T16" i="1"/>
  <c r="Q16" i="1"/>
  <c r="T18" i="1"/>
  <c r="T19" i="1"/>
  <c r="T20" i="1"/>
  <c r="T21" i="1"/>
  <c r="T22" i="1"/>
  <c r="T23" i="1"/>
  <c r="T24" i="1"/>
  <c r="T25" i="1"/>
  <c r="Q18" i="1"/>
  <c r="Q19" i="1"/>
  <c r="Q20" i="1"/>
  <c r="Q21" i="1"/>
  <c r="Q22" i="1"/>
  <c r="Q23" i="1"/>
  <c r="Q24" i="1"/>
  <c r="Q25" i="1"/>
  <c r="T17" i="1"/>
  <c r="Q17" i="1"/>
  <c r="AE34" i="27" l="1"/>
  <c r="AE27" i="27"/>
  <c r="AE22" i="27"/>
  <c r="AD12" i="30"/>
  <c r="AD16" i="30"/>
  <c r="AD20" i="30"/>
  <c r="AD24" i="30"/>
  <c r="AD28" i="30"/>
  <c r="AD32" i="30"/>
  <c r="AD36" i="30"/>
  <c r="AD35" i="30"/>
  <c r="AD15" i="30"/>
  <c r="AD23" i="30"/>
  <c r="AD27" i="30"/>
  <c r="AD14" i="30"/>
  <c r="AD13" i="30"/>
  <c r="AD17" i="30"/>
  <c r="AD21" i="30"/>
  <c r="AD25" i="30"/>
  <c r="AD29" i="30"/>
  <c r="AD33" i="30"/>
  <c r="AG15" i="29"/>
  <c r="AG27" i="29"/>
  <c r="AG31" i="29"/>
  <c r="AG12" i="29"/>
  <c r="AG24" i="29"/>
  <c r="AG36" i="29"/>
  <c r="AG29" i="29"/>
  <c r="AG18" i="29"/>
  <c r="AG30" i="29"/>
  <c r="AG19" i="29"/>
  <c r="AG17" i="29"/>
  <c r="AG21" i="29"/>
  <c r="AG33" i="29"/>
  <c r="AG16" i="29"/>
  <c r="AG28" i="29"/>
  <c r="AH12" i="28"/>
  <c r="AH36" i="28"/>
  <c r="AH17" i="28"/>
  <c r="AH21" i="28"/>
  <c r="AH25" i="28"/>
  <c r="AH29" i="28"/>
  <c r="AH14" i="28"/>
  <c r="AH18" i="28"/>
  <c r="AH22" i="28"/>
  <c r="AH26" i="28"/>
  <c r="AH30" i="28"/>
  <c r="AH34" i="28"/>
  <c r="AH35" i="28"/>
  <c r="AH15" i="28"/>
  <c r="AH23" i="28"/>
  <c r="AH27" i="28"/>
  <c r="AH16" i="28"/>
  <c r="AH20" i="28"/>
  <c r="AH24" i="28"/>
  <c r="AH28" i="28"/>
  <c r="AH32" i="28"/>
  <c r="AE32" i="27"/>
  <c r="AE36" i="27"/>
  <c r="AE12" i="27"/>
  <c r="AE20" i="27"/>
  <c r="AE24" i="27"/>
  <c r="AE19" i="27"/>
  <c r="AE31" i="27"/>
  <c r="AE13" i="27"/>
  <c r="AE25" i="27"/>
  <c r="AE35" i="27"/>
  <c r="AE15" i="27"/>
  <c r="AE23" i="27"/>
  <c r="AE16" i="27"/>
  <c r="AE28" i="27"/>
  <c r="AE17" i="27"/>
  <c r="AE21" i="27"/>
  <c r="AE29" i="27"/>
  <c r="AE33" i="27"/>
  <c r="AE14" i="27"/>
  <c r="AE18" i="27"/>
  <c r="AE26" i="27"/>
  <c r="AE30" i="27"/>
  <c r="AD18" i="25"/>
  <c r="AD35" i="25"/>
  <c r="AD15" i="25"/>
  <c r="AD23" i="25"/>
  <c r="AD27" i="25"/>
  <c r="AD33" i="25"/>
  <c r="AD13" i="25"/>
  <c r="AD17" i="25"/>
  <c r="AD21" i="25"/>
  <c r="AD25" i="25"/>
  <c r="AD29" i="25"/>
  <c r="AD30" i="25"/>
  <c r="AD36" i="25"/>
  <c r="AD12" i="25"/>
  <c r="AD20" i="25"/>
  <c r="AD24" i="25"/>
  <c r="AD32" i="25"/>
  <c r="AE14" i="23"/>
  <c r="AE18" i="23"/>
  <c r="AE22" i="23"/>
  <c r="AE26" i="23"/>
  <c r="AE30" i="23"/>
  <c r="AD19" i="30"/>
  <c r="AD22" i="30"/>
  <c r="AD31" i="30"/>
  <c r="AD34" i="30"/>
  <c r="AG35" i="29"/>
  <c r="AG14" i="29"/>
  <c r="AG20" i="29"/>
  <c r="AG23" i="29"/>
  <c r="AG26" i="29"/>
  <c r="AG32" i="29"/>
  <c r="AG13" i="29"/>
  <c r="AG22" i="29"/>
  <c r="AG25" i="29"/>
  <c r="AG34" i="29"/>
  <c r="AH19" i="28"/>
  <c r="AH31" i="28"/>
  <c r="AD16" i="25"/>
  <c r="AD19" i="25"/>
  <c r="AD22" i="25"/>
  <c r="AD28" i="25"/>
  <c r="AD31" i="25"/>
  <c r="AD34" i="25"/>
  <c r="AE25" i="24"/>
  <c r="AE20" i="24"/>
  <c r="AE26" i="24"/>
  <c r="AE17" i="23"/>
  <c r="AE27" i="23"/>
  <c r="AE19" i="23"/>
  <c r="AE25" i="23"/>
  <c r="AI18" i="26"/>
  <c r="AI20" i="26"/>
  <c r="AI22" i="26"/>
  <c r="AI26" i="26"/>
  <c r="AI28" i="26"/>
  <c r="AI30" i="26"/>
  <c r="AI34" i="26"/>
  <c r="AI36" i="26"/>
  <c r="AI25" i="26"/>
  <c r="AI27" i="26"/>
  <c r="AI33" i="26"/>
  <c r="AI14" i="26"/>
  <c r="AI16" i="26"/>
  <c r="AI13" i="26"/>
  <c r="AI15" i="26"/>
  <c r="AI17" i="26"/>
  <c r="AI21" i="26"/>
  <c r="AI23" i="26"/>
  <c r="AI32" i="26"/>
  <c r="AI35" i="26"/>
  <c r="AI24" i="26"/>
  <c r="AI12" i="26"/>
  <c r="AI19" i="26"/>
  <c r="AI29" i="26"/>
  <c r="AI31" i="26"/>
  <c r="AE27" i="24"/>
  <c r="AE33" i="24"/>
  <c r="AE14" i="24"/>
  <c r="AE16" i="24"/>
  <c r="AE13" i="24"/>
  <c r="AE15" i="24"/>
  <c r="AE17" i="24"/>
  <c r="AE21" i="24"/>
  <c r="AE23" i="24"/>
  <c r="AE32" i="24"/>
  <c r="AE12" i="24"/>
  <c r="AE19" i="24"/>
  <c r="AE29" i="24"/>
  <c r="AE35" i="24"/>
  <c r="AE24" i="24"/>
  <c r="AE31" i="24"/>
  <c r="AE13" i="23"/>
  <c r="AE15" i="23"/>
  <c r="AE21" i="23"/>
  <c r="AE23" i="23"/>
  <c r="AE29" i="23"/>
  <c r="AE3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tc={B2D6E3EE-7A80-4AF9-B4FF-F7CF179E5B67}</author>
    <author>tc={27C78889-7D33-406D-824E-30694121961E}</author>
  </authors>
  <commentList>
    <comment ref="K14" authorId="0" shapeId="0" xr:uid="{B2D6E3EE-7A80-4AF9-B4FF-F7CF179E5B67}">
      <text>
        <r>
          <rPr>
            <sz val="11"/>
            <color theme="1"/>
            <rFont val="Aptos Narrow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Entro hoy a la escuela</t>
        </r>
      </text>
    </comment>
    <comment ref="K29" authorId="1" shapeId="0" xr:uid="{27C78889-7D33-406D-824E-30694121961E}">
      <text>
        <r>
          <rPr>
            <sz val="11"/>
            <color theme="1"/>
            <rFont val="Aptos Narrow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Entro hoy a la escuela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tc={5BE895CF-0C8F-4F04-8AE2-EA0DE61C3DDB}</author>
    <author>tc={535D4455-37EC-4FC6-A3BA-25D679E6A1CA}</author>
  </authors>
  <commentList>
    <comment ref="L24" authorId="0" shapeId="0" xr:uid="{5BE895CF-0C8F-4F04-8AE2-EA0DE61C3DDB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salió de clase antes de tiempo
</t>
        </r>
      </text>
    </comment>
    <comment ref="D37" authorId="1" shapeId="0" xr:uid="{535D4455-37EC-4FC6-A3BA-25D679E6A1CA}">
      <text>
        <r>
          <rPr>
            <sz val="11"/>
            <color theme="1"/>
            <rFont val="Aptos Narrow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Penso que la entrada era a las 8 am</t>
        </r>
      </text>
    </comment>
  </commentList>
</comments>
</file>

<file path=xl/metadata.xml><?xml version="1.0" encoding="utf-8"?>
<metadata xmlns="http://schemas.openxmlformats.org/spreadsheetml/2006/main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<sst xmlns="http://schemas.openxmlformats.org/spreadsheetml/2006/main" count="606" uniqueCount="85">
  <si>
    <t>NOMBRES Y APELLIDOS</t>
  </si>
  <si>
    <t>ASISTENCIA</t>
  </si>
  <si>
    <t>FALTAS</t>
  </si>
  <si>
    <t>TARDE</t>
  </si>
  <si>
    <t>JUSTIFICACIÓN</t>
  </si>
  <si>
    <t>% ASISTENCIA</t>
  </si>
  <si>
    <t>J</t>
  </si>
  <si>
    <t>GRADO</t>
  </si>
  <si>
    <t>N°</t>
  </si>
  <si>
    <t>VALORES PARA LLENAR LA ASISTENCIA</t>
  </si>
  <si>
    <t>Asistio</t>
  </si>
  <si>
    <t xml:space="preserve">T </t>
  </si>
  <si>
    <t>Llegada tarde</t>
  </si>
  <si>
    <t>Justificación</t>
  </si>
  <si>
    <t>No asistio (faltas)</t>
  </si>
  <si>
    <r>
      <t xml:space="preserve">Código: </t>
    </r>
    <r>
      <rPr>
        <sz val="11"/>
        <color theme="1"/>
        <rFont val="Aptos Narrow"/>
        <family val="2"/>
        <scheme val="minor"/>
      </rPr>
      <t>IERLJ_AE_06</t>
    </r>
  </si>
  <si>
    <r>
      <t>Versión:</t>
    </r>
    <r>
      <rPr>
        <sz val="11"/>
        <color theme="1"/>
        <rFont val="Aptos Narrow"/>
        <family val="2"/>
        <scheme val="minor"/>
      </rPr>
      <t xml:space="preserve"> 1.0</t>
    </r>
  </si>
  <si>
    <r>
      <t>Página:</t>
    </r>
    <r>
      <rPr>
        <sz val="11"/>
        <color theme="1"/>
        <rFont val="Aptos Narrow"/>
        <family val="2"/>
        <scheme val="minor"/>
      </rPr>
      <t xml:space="preserve"> 1 de 1</t>
    </r>
  </si>
  <si>
    <t>SEGUIMIENTO A LA ASISTENCIA</t>
  </si>
  <si>
    <t>Docente:</t>
  </si>
  <si>
    <t>Sede</t>
  </si>
  <si>
    <t>Área/Asignaura</t>
  </si>
  <si>
    <t>Año</t>
  </si>
  <si>
    <t>Mes</t>
  </si>
  <si>
    <t>Andres Paz</t>
  </si>
  <si>
    <t>Dávila Bedoya Kevin Alejandro</t>
  </si>
  <si>
    <t>Vera Figuera Branyelis Del Carmen</t>
  </si>
  <si>
    <t>Adrianza Figuera Brainer Josué</t>
  </si>
  <si>
    <t>Chavarría Valencia Dylan Alexis</t>
  </si>
  <si>
    <t>Giraldo Ceballos Miguel Angel</t>
  </si>
  <si>
    <t>Hincapié Muñoz Juan Pablo</t>
  </si>
  <si>
    <t>Jiménez Muñoz Alejandro</t>
  </si>
  <si>
    <t>Rodríguez Correa Dubian Esteban</t>
  </si>
  <si>
    <t>Valencia Virgen Alexandra</t>
  </si>
  <si>
    <t>Caviedes Hernández Juan Manuel</t>
  </si>
  <si>
    <t>Orozco Chavarría Cristóbal</t>
  </si>
  <si>
    <t>Velásquez Muñoz Anyely Tatiana</t>
  </si>
  <si>
    <t>Dávila Bedoya Evelin Sofía</t>
  </si>
  <si>
    <t>Duque Aristizabal Ángel Gabriel</t>
  </si>
  <si>
    <t>Eusse Castañeda María Fernanda</t>
  </si>
  <si>
    <t>Giraldo Giraldo Juan Camilo</t>
  </si>
  <si>
    <t>Gómez Vergara Michael Estiven</t>
  </si>
  <si>
    <t>López Aguirre Alexis</t>
  </si>
  <si>
    <t>Duque Aristizabal Yennifer</t>
  </si>
  <si>
    <t>García Navarro Sebastian Camilo</t>
  </si>
  <si>
    <t>Gallego Giraldo Marlon</t>
  </si>
  <si>
    <t>Gómez Pamplona Julieta</t>
  </si>
  <si>
    <t>González Martínez Salomé</t>
  </si>
  <si>
    <t>Valencia Vásquez Anderson</t>
  </si>
  <si>
    <t>Caviedes Hernández Cristina</t>
  </si>
  <si>
    <t>U</t>
  </si>
  <si>
    <t>Uniforme</t>
  </si>
  <si>
    <t>UNIFORME</t>
  </si>
  <si>
    <t>Franco Barraza Maria Jose</t>
  </si>
  <si>
    <t>Franco Barraza Gyshet Johanna</t>
  </si>
  <si>
    <t>Barrientos Gallo  Juan Sebastian</t>
  </si>
  <si>
    <t>Lezcano Morillo Edwin Alexander</t>
  </si>
  <si>
    <t>FRANCO BARRAZA MARIA JOSE</t>
  </si>
  <si>
    <t>VERA FIGUERA BRANYELIS DEL CARMEN</t>
  </si>
  <si>
    <t xml:space="preserve">BARRIENTOS GALLO JUAN SEBASTIAN </t>
  </si>
  <si>
    <t>ADRIANZA FIGUERA BRAINER JOSUÉ</t>
  </si>
  <si>
    <t>CHAVARRÍA VALENCIA DYLAN ALEXIS</t>
  </si>
  <si>
    <t>GIRALDO CEBALLOS MIGUEL ANGEL</t>
  </si>
  <si>
    <t>HINCAPIÉ MUÑOZ JUAN PABLO</t>
  </si>
  <si>
    <t>JIMÉNEZ MUÑOZ ALEJANDRO</t>
  </si>
  <si>
    <t>RODRÍGUEZ CORREA DUBIAN ESTEBAN</t>
  </si>
  <si>
    <t>VALENCIA VIRGEN ALEXANDRA</t>
  </si>
  <si>
    <t>CAVIEDES HERNÁNDEZ JUAN MANUEL</t>
  </si>
  <si>
    <t>OROZCO CHAVARRÍA CRISTÓBAL</t>
  </si>
  <si>
    <t>VELÁSQUEZ MUÑOZ ANYELY TATIANA</t>
  </si>
  <si>
    <t>LEZCANO MORILLO DUVAN ALEXANDER</t>
  </si>
  <si>
    <t>CASTRILLON HERRERA JUAN PABLO</t>
  </si>
  <si>
    <t>DUQUE ARISTIZABAL ÁNGEL GABRIEL</t>
  </si>
  <si>
    <t xml:space="preserve"> FRANCO BARRAZA GYSHET JOHANNA</t>
  </si>
  <si>
    <t>GIRALDO GIRALDO JUAN CAMILO</t>
  </si>
  <si>
    <t>GÓMEZ VERGARA MICHAEL STIVEN</t>
  </si>
  <si>
    <t>LÓPEZ AGUIRRE ALEXIS</t>
  </si>
  <si>
    <t>DUQUE ARISTIZABAL YENNIFER TATIANA</t>
  </si>
  <si>
    <t>GARCÍA NAVARRO SEBASTIAN CAMILO</t>
  </si>
  <si>
    <t>GALLEGO GIRALDO MARLON</t>
  </si>
  <si>
    <t>GÓMEZ PAMPLONA JULIETA</t>
  </si>
  <si>
    <t>GONZÁLEZ MARTÍNEZ SALOMÉ</t>
  </si>
  <si>
    <t>LEZCANO MORILLO EDWIN ALEXANDER</t>
  </si>
  <si>
    <t>VALENCIA VÁSQUEZ ANDERSON</t>
  </si>
  <si>
    <t>CAVIEDES HERNÁNDEZ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</si>
</sst>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2" xfId="0" applyFont="1" applyFill="1" applyBorder="1" applyAlignment="1">
      <alignment vertical="center"/>
    </xf>
    <xf numFmtId="9" fontId="0" fillId="3" borderId="12" xfId="1" applyFont="1" applyFill="1" applyBorder="1"/>
    <xf numFmtId="0" fontId="2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0" fontId="0" fillId="0" borderId="21" xfId="0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2" fillId="0" borderId="22" xfId="0" applyFont="1" applyBorder="1"/>
    <xf numFmtId="0" fontId="0" fillId="0" borderId="22" xfId="0" applyBorder="1"/>
    <xf numFmtId="0" fontId="0" fillId="0" borderId="23" xfId="0" applyBorder="1"/>
    <xf numFmtId="0" fontId="2" fillId="0" borderId="3" xfId="0" applyFont="1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2" fillId="0" borderId="10" xfId="0" applyFont="1" applyBorder="1"/>
    <xf numFmtId="0" fontId="0" fillId="0" borderId="10" xfId="0" applyBorder="1"/>
    <xf numFmtId="0" fontId="0" fillId="5" borderId="0" xfId="0" applyFill="1" applyAlignment="1">
      <alignment horizontal="center"/>
    </xf>
    <xf numFmtId="0" fontId="2" fillId="0" borderId="8" xfId="0" applyFont="1" applyBorder="1"/>
    <xf numFmtId="0" fontId="0" fillId="0" borderId="8" xfId="0" applyBorder="1"/>
    <xf numFmtId="0" fontId="0" fillId="0" borderId="11" xfId="0" applyBorder="1"/>
    <xf numFmtId="0" fontId="0" fillId="7" borderId="10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3" fillId="2" borderId="12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5" fillId="9" borderId="12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1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964"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22</xdr:row>
      <xdr:rowOff>117275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26FDBE0-23ED-47ED-BAB9-F5B09E7D13CE}"/>
            </a:ext>
          </a:extLst>
        </xdr:cNvPr>
        <xdr:cNvSpPr txBox="1"/>
      </xdr:nvSpPr>
      <xdr:spPr>
        <a:xfrm rot="16200000">
          <a:off x="3976236" y="44679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203142</xdr:colOff>
      <xdr:row>21</xdr:row>
      <xdr:rowOff>174425</xdr:rowOff>
    </xdr:from>
    <xdr:ext cx="342786" cy="155113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D9736E5-E453-49E2-A99C-BCDB336A67D8}"/>
            </a:ext>
          </a:extLst>
        </xdr:cNvPr>
        <xdr:cNvSpPr txBox="1"/>
      </xdr:nvSpPr>
      <xdr:spPr>
        <a:xfrm rot="16200000">
          <a:off x="5483303" y="43345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21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F7067FA-EBF5-46D0-9FC7-467DAD9E79CE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203142</xdr:colOff>
      <xdr:row>20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65EA03B-1080-40DD-A272-A1B512715C7E}"/>
            </a:ext>
          </a:extLst>
        </xdr:cNvPr>
        <xdr:cNvSpPr txBox="1"/>
      </xdr:nvSpPr>
      <xdr:spPr>
        <a:xfrm rot="16200000">
          <a:off x="56854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21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E402FA1-4943-4E95-8DBF-553B335D59DE}"/>
            </a:ext>
          </a:extLst>
        </xdr:cNvPr>
        <xdr:cNvSpPr txBox="1"/>
      </xdr:nvSpPr>
      <xdr:spPr>
        <a:xfrm rot="16200000">
          <a:off x="5650578" y="4456506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21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5F3A09-FABF-41A5-93BA-738707C9EBB2}"/>
            </a:ext>
          </a:extLst>
        </xdr:cNvPr>
        <xdr:cNvSpPr txBox="1"/>
      </xdr:nvSpPr>
      <xdr:spPr>
        <a:xfrm rot="16200000">
          <a:off x="7132245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285067C-BD40-450B-9554-AC1B95364422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24</xdr:col>
      <xdr:colOff>203142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9DE6C4B-3DE3-438C-ABD9-44591525AB2E}"/>
            </a:ext>
          </a:extLst>
        </xdr:cNvPr>
        <xdr:cNvSpPr txBox="1"/>
      </xdr:nvSpPr>
      <xdr:spPr>
        <a:xfrm rot="16200000">
          <a:off x="86572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0EE7EA2-D1CD-4BE7-8C9A-55034080657F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420A354-BF34-43CE-8E11-7860170213B0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453E353-06B1-4173-BDD9-E43B3E98FFA5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0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AD4253A-DC02-4081-B83B-DDAD56E9D2F5}"/>
            </a:ext>
          </a:extLst>
        </xdr:cNvPr>
        <xdr:cNvSpPr txBox="1"/>
      </xdr:nvSpPr>
      <xdr:spPr>
        <a:xfrm rot="16200000">
          <a:off x="86572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69C93C3-ED78-4878-B9FE-0953827C0426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5A1A64C-7E82-4251-9120-48E04FF61370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11DEAE5-8C66-4DB0-9E38-F106EE03C31C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0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7C9292A-C864-4CF9-9F92-6BBA81F3DD77}"/>
            </a:ext>
          </a:extLst>
        </xdr:cNvPr>
        <xdr:cNvSpPr txBox="1"/>
      </xdr:nvSpPr>
      <xdr:spPr>
        <a:xfrm rot="16200000">
          <a:off x="8454103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8743EBA-03D3-41A3-91D8-E6F01285A627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EE123ED-623E-4121-B2DF-39776EC860ED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DFECF17-6E70-49E1-8135-DF3DC0509403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5CFB9AF-5F71-4C6E-B1ED-D8E8826E85CA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10587</xdr:colOff>
      <xdr:row>16</xdr:row>
      <xdr:rowOff>55931</xdr:rowOff>
    </xdr:from>
    <xdr:ext cx="342786" cy="251876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6EB084F-91FB-4928-B20C-862D282E6250}"/>
            </a:ext>
          </a:extLst>
        </xdr:cNvPr>
        <xdr:cNvSpPr txBox="1"/>
      </xdr:nvSpPr>
      <xdr:spPr>
        <a:xfrm rot="16200000">
          <a:off x="6447347" y="4149588"/>
          <a:ext cx="2518766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829420D-761E-484E-89A4-340F3D2D4165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29</xdr:col>
      <xdr:colOff>0</xdr:colOff>
      <xdr:row>20</xdr:row>
      <xdr:rowOff>36842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B325C15-957B-4589-A525-78DE2B921491}"/>
            </a:ext>
          </a:extLst>
        </xdr:cNvPr>
        <xdr:cNvSpPr txBox="1"/>
      </xdr:nvSpPr>
      <xdr:spPr>
        <a:xfrm rot="16200000">
          <a:off x="9111328" y="4408681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11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C1C117E-5747-493C-9781-B2E6071E4806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17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74EC257-5280-412F-89D0-0F5496C89F34}"/>
            </a:ext>
          </a:extLst>
        </xdr:cNvPr>
        <xdr:cNvSpPr txBox="1"/>
      </xdr:nvSpPr>
      <xdr:spPr>
        <a:xfrm rot="16200000">
          <a:off x="6645412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3</xdr:col>
      <xdr:colOff>201029</xdr:colOff>
      <xdr:row>17</xdr:row>
      <xdr:rowOff>50440</xdr:rowOff>
    </xdr:from>
    <xdr:ext cx="342786" cy="251876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17AB4DC-359A-49D1-A826-A74C010A0B3A}"/>
            </a:ext>
          </a:extLst>
        </xdr:cNvPr>
        <xdr:cNvSpPr txBox="1"/>
      </xdr:nvSpPr>
      <xdr:spPr>
        <a:xfrm rot="16200000">
          <a:off x="2700789" y="4334597"/>
          <a:ext cx="2518766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200025</xdr:colOff>
      <xdr:row>19</xdr:row>
      <xdr:rowOff>136325</xdr:rowOff>
    </xdr:from>
    <xdr:ext cx="342786" cy="155113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E6CC299-2361-4A15-BAC2-8A510678E9EA}"/>
            </a:ext>
          </a:extLst>
        </xdr:cNvPr>
        <xdr:cNvSpPr txBox="1"/>
      </xdr:nvSpPr>
      <xdr:spPr>
        <a:xfrm rot="16200000">
          <a:off x="7850853" y="4317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B8A3634-B1E7-48F0-854E-F5A274260BF9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23</xdr:col>
      <xdr:colOff>211666</xdr:colOff>
      <xdr:row>20</xdr:row>
      <xdr:rowOff>47425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38C17A2-8609-428B-9119-6E2900A45BC6}"/>
            </a:ext>
          </a:extLst>
        </xdr:cNvPr>
        <xdr:cNvSpPr txBox="1"/>
      </xdr:nvSpPr>
      <xdr:spPr>
        <a:xfrm rot="16200000">
          <a:off x="8105911" y="44192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A4FA174-2C6B-4258-BE52-82CCF332DA5A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18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DAA9F78-461C-494C-A3CE-43F9527B6681}"/>
            </a:ext>
          </a:extLst>
        </xdr:cNvPr>
        <xdr:cNvSpPr txBox="1"/>
      </xdr:nvSpPr>
      <xdr:spPr>
        <a:xfrm rot="16200000">
          <a:off x="6968203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3562C1-FD8D-4DA8-B241-A3651673DAFA}"/>
            </a:ext>
          </a:extLst>
        </xdr:cNvPr>
        <xdr:cNvSpPr txBox="1"/>
      </xdr:nvSpPr>
      <xdr:spPr>
        <a:xfrm rot="16200000">
          <a:off x="394877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24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77DC6B4-0A82-4204-812F-E1CDE4B80567}"/>
            </a:ext>
          </a:extLst>
        </xdr:cNvPr>
        <xdr:cNvSpPr txBox="1"/>
      </xdr:nvSpPr>
      <xdr:spPr>
        <a:xfrm rot="16200000">
          <a:off x="8328162" y="4440431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8CB6FCB-7F89-4169-9FD3-4F14EE87A29A}"/>
            </a:ext>
          </a:extLst>
        </xdr:cNvPr>
        <xdr:cNvSpPr txBox="1"/>
      </xdr:nvSpPr>
      <xdr:spPr>
        <a:xfrm rot="16200000">
          <a:off x="542515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ACB42B3-7496-4A35-9030-F90C4E6B1798}"/>
            </a:ext>
          </a:extLst>
        </xdr:cNvPr>
        <xdr:cNvSpPr txBox="1"/>
      </xdr:nvSpPr>
      <xdr:spPr>
        <a:xfrm rot="16200000">
          <a:off x="6720553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604C006-C922-4D42-9E74-3C9F6BEA2B1C}"/>
            </a:ext>
          </a:extLst>
        </xdr:cNvPr>
        <xdr:cNvSpPr txBox="1"/>
      </xdr:nvSpPr>
      <xdr:spPr>
        <a:xfrm rot="16200000">
          <a:off x="392972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21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7114015-0DD3-4C7C-918A-4F486D959ED2}"/>
            </a:ext>
          </a:extLst>
        </xdr:cNvPr>
        <xdr:cNvSpPr txBox="1"/>
      </xdr:nvSpPr>
      <xdr:spPr>
        <a:xfrm rot="16200000">
          <a:off x="8388487" y="4444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10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E13195C-D639-4681-BA40-CF29D5C3DA10}"/>
            </a:ext>
          </a:extLst>
        </xdr:cNvPr>
        <xdr:cNvSpPr txBox="1"/>
      </xdr:nvSpPr>
      <xdr:spPr>
        <a:xfrm rot="16200000">
          <a:off x="54061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15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40BB300-27F5-4DFA-8981-E97DB8B2FBB8}"/>
            </a:ext>
          </a:extLst>
        </xdr:cNvPr>
        <xdr:cNvSpPr txBox="1"/>
      </xdr:nvSpPr>
      <xdr:spPr>
        <a:xfrm rot="16200000">
          <a:off x="6169162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7</xdr:col>
      <xdr:colOff>125946</xdr:colOff>
      <xdr:row>18</xdr:row>
      <xdr:rowOff>123721</xdr:rowOff>
    </xdr:from>
    <xdr:ext cx="342786" cy="2285819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E1FDDD1-96C2-466A-8852-EEB756454E81}"/>
            </a:ext>
          </a:extLst>
        </xdr:cNvPr>
        <xdr:cNvSpPr txBox="1"/>
      </xdr:nvSpPr>
      <xdr:spPr>
        <a:xfrm rot="16200000">
          <a:off x="3768762" y="4481905"/>
          <a:ext cx="2285819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CA4A532-C66B-4852-8F28-BC28123A776C}"/>
            </a:ext>
          </a:extLst>
        </xdr:cNvPr>
        <xdr:cNvSpPr txBox="1"/>
      </xdr:nvSpPr>
      <xdr:spPr>
        <a:xfrm rot="16200000">
          <a:off x="347252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23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FB1D533-F71A-434D-8EA2-A98D28A927AE}"/>
            </a:ext>
          </a:extLst>
        </xdr:cNvPr>
        <xdr:cNvSpPr txBox="1"/>
      </xdr:nvSpPr>
      <xdr:spPr>
        <a:xfrm rot="16200000">
          <a:off x="7683637" y="4444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099B7BA-B5E9-4AFE-B9F1-1B7D6D08BFA5}"/>
            </a:ext>
          </a:extLst>
        </xdr:cNvPr>
        <xdr:cNvSpPr txBox="1"/>
      </xdr:nvSpPr>
      <xdr:spPr>
        <a:xfrm rot="16200000">
          <a:off x="49489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17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D8C1A91-AEBA-4661-AA39-1032CA90B2B4}"/>
            </a:ext>
          </a:extLst>
        </xdr:cNvPr>
        <xdr:cNvSpPr txBox="1"/>
      </xdr:nvSpPr>
      <xdr:spPr>
        <a:xfrm rot="16200000">
          <a:off x="620832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go Andres Paz Burbano" id="{E5C66B3C-6D16-4BCB-907E-52DB1ED3B94F}" userId="S::01240100237@mail.udes.edu.co::2a34b10b-bc9c-4542-977f-67d6a4168a80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6-01-27T20:01:43.82" personId="{E5C66B3C-6D16-4BCB-907E-52DB1ED3B94F}" id="{B2D6E3EE-7A80-4AF9-B4FF-F7CF179E5B67}">
    <text>Entro hoy a la escuela</text>
  </threadedComment>
  <threadedComment ref="K29" dT="2026-01-27T20:01:43.82" personId="{E5C66B3C-6D16-4BCB-907E-52DB1ED3B94F}" id="{27C78889-7D33-406D-824E-30694121961E}">
    <text>Entro hoy a la escuela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4" dT="2026-02-11T20:19:38.30" personId="{E5C66B3C-6D16-4BCB-907E-52DB1ED3B94F}" id="{5BE895CF-0C8F-4F04-8AE2-EA0DE61C3DDB}">
    <text xml:space="preserve">Se salió de clase antes de tiempo
</text>
  </threadedComment>
  <threadedComment ref="D37" dT="2026-02-02T14:32:14.48" personId="{E5C66B3C-6D16-4BCB-907E-52DB1ED3B94F}" id="{535D4455-37EC-4FC6-A3BA-25D679E6A1CA}">
    <text>Penso que la entrada era a las 8 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0810-57A7-4B98-A765-B168225DF69F}">
  <sheetPr codeName="Hoja1"/>
  <dimension ref="A1:AD40"/>
  <sheetViews>
    <sheetView topLeftCell="A20" zoomScale="86" zoomScaleNormal="86" workbookViewId="0">
      <selection activeCell="A38" sqref="A38:C38"/>
    </sheetView>
  </sheetViews>
  <sheetFormatPr baseColWidth="10" defaultColWidth="5.33203125" defaultRowHeight="14.4" x14ac:dyDescent="0.3"/>
  <cols>
    <col min="1" max="1" width="3.21875" bestFit="1" customWidth="1"/>
    <col min="2" max="2" width="7.109375" style="5" bestFit="1" customWidth="1"/>
    <col min="3" max="3" width="36.109375" style="13" customWidth="1"/>
    <col min="4" max="4" width="3.33203125" customWidth="1"/>
    <col min="5" max="6" width="3.33203125" bestFit="1" customWidth="1"/>
    <col min="7" max="8" width="3.21875" bestFit="1" customWidth="1"/>
    <col min="9" max="9" width="3.88671875" customWidth="1"/>
    <col min="10" max="13" width="3.21875" bestFit="1" customWidth="1"/>
    <col min="14" max="14" width="3.109375" customWidth="1"/>
    <col min="15" max="15" width="3.77734375" customWidth="1"/>
    <col min="16" max="16" width="11.77734375" customWidth="1"/>
    <col min="17" max="17" width="7.33203125" bestFit="1" customWidth="1"/>
    <col min="18" max="18" width="7" bestFit="1" customWidth="1"/>
    <col min="19" max="19" width="10" bestFit="1" customWidth="1"/>
    <col min="20" max="20" width="14.77734375" bestFit="1" customWidth="1"/>
    <col min="21" max="21" width="13.77734375" bestFit="1" customWidth="1"/>
    <col min="27" max="27" width="2.33203125" customWidth="1"/>
    <col min="30" max="30" width="8.44140625" customWidth="1"/>
  </cols>
  <sheetData>
    <row r="1" spans="1:30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spans="1:30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8" t="s">
        <v>15</v>
      </c>
      <c r="AC2" s="58"/>
      <c r="AD2" s="58"/>
    </row>
    <row r="3" spans="1:30" ht="15" customHeight="1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8"/>
      <c r="AC3" s="58"/>
      <c r="AD3" s="58"/>
    </row>
    <row r="4" spans="1:30" ht="14.55" customHeight="1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68" t="s">
        <v>17</v>
      </c>
      <c r="AC4" s="68"/>
      <c r="AD4" s="68"/>
    </row>
    <row r="5" spans="1:30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68"/>
      <c r="AC5" s="68"/>
      <c r="AD5" s="68"/>
    </row>
    <row r="6" spans="1:30" ht="14.55" customHeight="1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8" t="s">
        <v>16</v>
      </c>
      <c r="AC6" s="68"/>
      <c r="AD6" s="68"/>
    </row>
    <row r="7" spans="1:30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8"/>
      <c r="AC7" s="68"/>
      <c r="AD7" s="68"/>
    </row>
    <row r="8" spans="1:30" x14ac:dyDescent="0.3">
      <c r="A8" s="63"/>
      <c r="B8" s="70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</row>
    <row r="9" spans="1:30" x14ac:dyDescent="0.3">
      <c r="A9" s="58" t="s">
        <v>19</v>
      </c>
      <c r="B9" s="58"/>
      <c r="C9" s="57" t="s">
        <v>24</v>
      </c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1" t="s">
        <v>21</v>
      </c>
      <c r="V9" s="59"/>
      <c r="W9" s="56"/>
      <c r="X9" s="56"/>
      <c r="Y9" s="56"/>
      <c r="Z9" s="56"/>
      <c r="AA9" s="56"/>
      <c r="AB9" s="56"/>
      <c r="AC9" s="56"/>
      <c r="AD9" s="56"/>
    </row>
    <row r="10" spans="1:30" x14ac:dyDescent="0.3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65"/>
      <c r="Y10" s="65"/>
      <c r="Z10" s="65"/>
      <c r="AA10" s="65"/>
      <c r="AB10" s="65" t="s">
        <v>22</v>
      </c>
      <c r="AC10" s="65"/>
      <c r="AD10" s="36"/>
    </row>
    <row r="11" spans="1:30" s="3" customFormat="1" x14ac:dyDescent="0.3">
      <c r="A11" s="1" t="s">
        <v>8</v>
      </c>
      <c r="B11" s="2" t="s">
        <v>7</v>
      </c>
      <c r="C11" s="11" t="s">
        <v>0</v>
      </c>
      <c r="D11" s="1">
        <v>19</v>
      </c>
      <c r="E11" s="1">
        <v>20</v>
      </c>
      <c r="F11" s="1">
        <v>21</v>
      </c>
      <c r="G11" s="1">
        <v>22</v>
      </c>
      <c r="H11" s="1">
        <v>23</v>
      </c>
      <c r="I11" s="60"/>
      <c r="J11" s="1">
        <v>26</v>
      </c>
      <c r="K11" s="1">
        <v>27</v>
      </c>
      <c r="L11" s="1">
        <v>28</v>
      </c>
      <c r="M11" s="1">
        <v>29</v>
      </c>
      <c r="N11" s="1">
        <v>30</v>
      </c>
      <c r="O11" s="65"/>
      <c r="P11" s="1" t="s">
        <v>1</v>
      </c>
      <c r="Q11" s="1" t="s">
        <v>2</v>
      </c>
      <c r="R11" s="1" t="s">
        <v>3</v>
      </c>
      <c r="S11" s="1" t="s">
        <v>52</v>
      </c>
      <c r="T11" s="1" t="s">
        <v>4</v>
      </c>
      <c r="U11" s="1" t="s">
        <v>5</v>
      </c>
      <c r="X11" s="60" t="s">
        <v>9</v>
      </c>
      <c r="Y11" s="61"/>
      <c r="Z11" s="61"/>
      <c r="AA11" s="61"/>
      <c r="AB11" s="61"/>
      <c r="AC11" s="61"/>
      <c r="AD11" s="62"/>
    </row>
    <row r="12" spans="1:30" s="3" customFormat="1" ht="18" x14ac:dyDescent="0.3">
      <c r="A12" s="47">
        <v>1</v>
      </c>
      <c r="B12" s="38">
        <v>6</v>
      </c>
      <c r="C12" s="38" t="s">
        <v>55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63"/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66"/>
      <c r="P12" s="4">
        <f>COUNTIF(D12:N12, 1) + COUNTIF(D12:N12, "U")+ COUNTIF(D12:N12, "T") + COUNTIF(D12:N12, "J")</f>
        <v>10</v>
      </c>
      <c r="Q12" s="4">
        <f t="shared" ref="Q12" si="0">COUNTIF(D12:N12,0)</f>
        <v>0</v>
      </c>
      <c r="R12" s="4">
        <f t="shared" ref="R12" si="1">COUNTIF(D12:N12,"T")</f>
        <v>0</v>
      </c>
      <c r="S12" s="4">
        <f>COUNTIF(D12:N12,"U")</f>
        <v>0</v>
      </c>
      <c r="T12" s="4">
        <f t="shared" ref="T12" si="2">COUNTIF(D12:N12,"J")</f>
        <v>10</v>
      </c>
      <c r="U12" s="10">
        <f>SUM(P12)/COUNTA($D$11:$N$11)</f>
        <v>1</v>
      </c>
      <c r="X12" s="35"/>
      <c r="Y12" s="8"/>
      <c r="Z12" s="8"/>
      <c r="AA12" s="8"/>
      <c r="AB12" s="8"/>
      <c r="AC12" s="8"/>
      <c r="AD12" s="46"/>
    </row>
    <row r="13" spans="1:30" s="3" customFormat="1" ht="18" x14ac:dyDescent="0.3">
      <c r="A13" s="47">
        <v>2</v>
      </c>
      <c r="B13" s="38">
        <v>6</v>
      </c>
      <c r="C13" s="38" t="s">
        <v>25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63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66"/>
      <c r="P13" s="4">
        <f t="shared" ref="P13:P37" si="3">COUNTIF(D13:N13, 1) + COUNTIF(D13:N13, "U")+ COUNTIF(D13:N13, "T") + COUNTIF(D13:N13, "J")</f>
        <v>10</v>
      </c>
      <c r="Q13" s="4">
        <f t="shared" ref="Q13:Q25" si="4">COUNTIF(D13:N13,0)</f>
        <v>0</v>
      </c>
      <c r="R13" s="4">
        <f t="shared" ref="R13:R25" si="5">COUNTIF(D13:N13,"T")</f>
        <v>0</v>
      </c>
      <c r="S13" s="4">
        <f>COUNTIF(D13:N13,"U")</f>
        <v>0</v>
      </c>
      <c r="T13" s="4">
        <f t="shared" ref="T13:T25" si="6">COUNTIF(D13:N13,"J")</f>
        <v>0</v>
      </c>
      <c r="U13" s="10">
        <f t="shared" ref="U13:U37" si="7">SUM(P13)/COUNTA($D$11:$N$11)</f>
        <v>1</v>
      </c>
      <c r="X13" s="35"/>
      <c r="Y13" s="14">
        <v>1</v>
      </c>
      <c r="Z13" s="3" t="s">
        <v>10</v>
      </c>
      <c r="AA13" s="8"/>
      <c r="AB13" s="8"/>
      <c r="AD13" s="42"/>
    </row>
    <row r="14" spans="1:30" s="3" customFormat="1" ht="18" x14ac:dyDescent="0.3">
      <c r="A14" s="47">
        <v>3</v>
      </c>
      <c r="B14" s="38">
        <v>6</v>
      </c>
      <c r="C14" s="38" t="s">
        <v>53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63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66"/>
      <c r="P14" s="4">
        <f t="shared" si="3"/>
        <v>10</v>
      </c>
      <c r="Q14" s="4">
        <f t="shared" ref="Q14" si="8">COUNTIF(D14:N14,0)</f>
        <v>0</v>
      </c>
      <c r="R14" s="4">
        <f t="shared" ref="R14" si="9">COUNTIF(D14:N14,"T")</f>
        <v>0</v>
      </c>
      <c r="S14" s="4">
        <f>COUNTIF(D14:N14,"U")</f>
        <v>0</v>
      </c>
      <c r="T14" s="4">
        <f t="shared" ref="T14" si="10">COUNTIF(D14:N14,"J")</f>
        <v>0</v>
      </c>
      <c r="U14" s="10">
        <f t="shared" si="7"/>
        <v>1</v>
      </c>
      <c r="X14" s="35"/>
      <c r="Y14" s="15">
        <v>0</v>
      </c>
      <c r="Z14" s="3" t="s">
        <v>14</v>
      </c>
      <c r="AD14" s="42"/>
    </row>
    <row r="15" spans="1:30" s="3" customFormat="1" ht="18" x14ac:dyDescent="0.3">
      <c r="A15" s="47">
        <v>4</v>
      </c>
      <c r="B15" s="38">
        <v>6</v>
      </c>
      <c r="C15" s="38" t="s">
        <v>26</v>
      </c>
      <c r="D15" s="1">
        <v>1</v>
      </c>
      <c r="E15" s="4">
        <v>0</v>
      </c>
      <c r="F15" s="1">
        <v>1</v>
      </c>
      <c r="G15" s="1">
        <v>1</v>
      </c>
      <c r="H15" s="1">
        <v>1</v>
      </c>
      <c r="I15" s="63"/>
      <c r="J15" s="1" t="s">
        <v>50</v>
      </c>
      <c r="K15" s="1">
        <v>1</v>
      </c>
      <c r="L15" s="1">
        <v>1</v>
      </c>
      <c r="M15" s="1">
        <v>1</v>
      </c>
      <c r="N15" s="1">
        <v>1</v>
      </c>
      <c r="O15" s="66"/>
      <c r="P15" s="4">
        <f t="shared" si="3"/>
        <v>9</v>
      </c>
      <c r="Q15" s="4">
        <f t="shared" si="4"/>
        <v>1</v>
      </c>
      <c r="R15" s="4">
        <f t="shared" si="5"/>
        <v>0</v>
      </c>
      <c r="S15" s="4">
        <f t="shared" ref="S15:S40" si="11">COUNTIF(D15:N15,"U")</f>
        <v>1</v>
      </c>
      <c r="T15" s="4">
        <f t="shared" si="6"/>
        <v>0</v>
      </c>
      <c r="U15" s="10">
        <f t="shared" si="7"/>
        <v>0.9</v>
      </c>
      <c r="X15" s="35"/>
      <c r="Y15" s="16" t="s">
        <v>11</v>
      </c>
      <c r="Z15" s="3" t="s">
        <v>12</v>
      </c>
      <c r="AD15" s="42"/>
    </row>
    <row r="16" spans="1:30" s="3" customFormat="1" ht="18" x14ac:dyDescent="0.3">
      <c r="A16" s="47">
        <v>5</v>
      </c>
      <c r="B16" s="38">
        <v>7</v>
      </c>
      <c r="C16" s="38" t="s">
        <v>27</v>
      </c>
      <c r="D16" s="1">
        <v>1</v>
      </c>
      <c r="E16" s="4">
        <v>1</v>
      </c>
      <c r="F16" s="1">
        <v>1</v>
      </c>
      <c r="G16" s="1">
        <v>1</v>
      </c>
      <c r="H16" s="1">
        <v>1</v>
      </c>
      <c r="I16" s="63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66"/>
      <c r="P16" s="4">
        <f t="shared" si="3"/>
        <v>10</v>
      </c>
      <c r="Q16" s="4">
        <f t="shared" si="4"/>
        <v>0</v>
      </c>
      <c r="R16" s="4">
        <f t="shared" si="5"/>
        <v>0</v>
      </c>
      <c r="S16" s="4">
        <f t="shared" si="11"/>
        <v>0</v>
      </c>
      <c r="T16" s="4">
        <f t="shared" si="6"/>
        <v>0</v>
      </c>
      <c r="U16" s="10">
        <f>SUM(P16)/COUNTA($D$11:$N$11)</f>
        <v>1</v>
      </c>
      <c r="X16" s="35"/>
      <c r="Y16" s="41" t="s">
        <v>6</v>
      </c>
      <c r="Z16" s="3" t="s">
        <v>13</v>
      </c>
      <c r="AA16"/>
      <c r="AB16"/>
      <c r="AC16"/>
      <c r="AD16" s="43"/>
    </row>
    <row r="17" spans="1:30" ht="18" x14ac:dyDescent="0.3">
      <c r="A17" s="47">
        <v>6</v>
      </c>
      <c r="B17" s="38">
        <v>7</v>
      </c>
      <c r="C17" s="38" t="s">
        <v>28</v>
      </c>
      <c r="D17" s="1">
        <v>1</v>
      </c>
      <c r="E17" s="4">
        <v>1</v>
      </c>
      <c r="F17" s="1">
        <v>1</v>
      </c>
      <c r="G17" s="1">
        <v>1</v>
      </c>
      <c r="H17" s="1">
        <v>1</v>
      </c>
      <c r="I17" s="63"/>
      <c r="J17" s="4">
        <v>1</v>
      </c>
      <c r="K17" s="1">
        <v>1</v>
      </c>
      <c r="L17" s="1">
        <v>1</v>
      </c>
      <c r="M17" s="1">
        <v>1</v>
      </c>
      <c r="N17" s="1">
        <v>1</v>
      </c>
      <c r="O17" s="66"/>
      <c r="P17" s="4">
        <f t="shared" si="3"/>
        <v>10</v>
      </c>
      <c r="Q17" s="4">
        <f t="shared" si="4"/>
        <v>0</v>
      </c>
      <c r="R17" s="4">
        <f t="shared" si="5"/>
        <v>0</v>
      </c>
      <c r="S17" s="4">
        <f t="shared" si="11"/>
        <v>0</v>
      </c>
      <c r="T17" s="4">
        <f t="shared" si="6"/>
        <v>0</v>
      </c>
      <c r="U17" s="10">
        <f t="shared" si="7"/>
        <v>1</v>
      </c>
      <c r="X17" s="37"/>
      <c r="Y17" s="45" t="s">
        <v>50</v>
      </c>
      <c r="Z17" s="39" t="s">
        <v>51</v>
      </c>
      <c r="AA17" s="40"/>
      <c r="AB17" s="40"/>
      <c r="AC17" s="40"/>
      <c r="AD17" s="44"/>
    </row>
    <row r="18" spans="1:30" ht="18" x14ac:dyDescent="0.3">
      <c r="A18" s="47">
        <v>7</v>
      </c>
      <c r="B18" s="38">
        <v>7</v>
      </c>
      <c r="C18" s="38" t="s">
        <v>29</v>
      </c>
      <c r="D18" s="1">
        <v>1</v>
      </c>
      <c r="E18" s="1">
        <v>1</v>
      </c>
      <c r="F18" s="4" t="s">
        <v>6</v>
      </c>
      <c r="G18" s="1">
        <v>1</v>
      </c>
      <c r="H18" s="1">
        <v>1</v>
      </c>
      <c r="I18" s="63"/>
      <c r="J18" s="4">
        <v>1</v>
      </c>
      <c r="K18" s="1">
        <v>1</v>
      </c>
      <c r="L18" s="1">
        <v>1</v>
      </c>
      <c r="M18" s="1">
        <v>1</v>
      </c>
      <c r="N18" s="1">
        <v>1</v>
      </c>
      <c r="O18" s="66"/>
      <c r="P18" s="4">
        <f t="shared" si="3"/>
        <v>10</v>
      </c>
      <c r="Q18" s="4">
        <f t="shared" si="4"/>
        <v>0</v>
      </c>
      <c r="R18" s="4">
        <f t="shared" si="5"/>
        <v>0</v>
      </c>
      <c r="S18" s="4">
        <f t="shared" si="11"/>
        <v>0</v>
      </c>
      <c r="T18" s="4">
        <f t="shared" si="6"/>
        <v>1</v>
      </c>
      <c r="U18" s="10">
        <f t="shared" si="7"/>
        <v>1</v>
      </c>
    </row>
    <row r="19" spans="1:30" ht="18" x14ac:dyDescent="0.3">
      <c r="A19" s="47">
        <v>8</v>
      </c>
      <c r="B19" s="38">
        <v>7</v>
      </c>
      <c r="C19" s="38" t="s">
        <v>30</v>
      </c>
      <c r="D19" s="1" t="s">
        <v>6</v>
      </c>
      <c r="E19" s="1" t="s">
        <v>6</v>
      </c>
      <c r="F19" s="4" t="s">
        <v>6</v>
      </c>
      <c r="G19" s="1">
        <v>1</v>
      </c>
      <c r="H19" s="1">
        <v>1</v>
      </c>
      <c r="I19" s="63"/>
      <c r="J19" s="4">
        <v>1</v>
      </c>
      <c r="K19" s="1">
        <v>1</v>
      </c>
      <c r="L19" s="1">
        <v>1</v>
      </c>
      <c r="M19" s="1">
        <v>1</v>
      </c>
      <c r="N19" s="1">
        <v>1</v>
      </c>
      <c r="O19" s="66"/>
      <c r="P19" s="4">
        <f t="shared" si="3"/>
        <v>10</v>
      </c>
      <c r="Q19" s="4">
        <f t="shared" si="4"/>
        <v>0</v>
      </c>
      <c r="R19" s="4">
        <f t="shared" si="5"/>
        <v>0</v>
      </c>
      <c r="S19" s="4">
        <f t="shared" si="11"/>
        <v>0</v>
      </c>
      <c r="T19" s="4">
        <f t="shared" si="6"/>
        <v>3</v>
      </c>
      <c r="U19" s="10">
        <f t="shared" si="7"/>
        <v>1</v>
      </c>
    </row>
    <row r="20" spans="1:30" ht="18" x14ac:dyDescent="0.3">
      <c r="A20" s="47">
        <v>9</v>
      </c>
      <c r="B20" s="38">
        <v>7</v>
      </c>
      <c r="C20" s="38" t="s">
        <v>31</v>
      </c>
      <c r="D20" s="1">
        <v>0</v>
      </c>
      <c r="E20" s="1">
        <v>0</v>
      </c>
      <c r="F20" s="4">
        <v>1</v>
      </c>
      <c r="G20" s="1">
        <v>1</v>
      </c>
      <c r="H20" s="1">
        <v>1</v>
      </c>
      <c r="I20" s="63"/>
      <c r="J20" s="4">
        <v>1</v>
      </c>
      <c r="K20" s="1">
        <v>1</v>
      </c>
      <c r="L20" s="1" t="s">
        <v>50</v>
      </c>
      <c r="M20" s="1">
        <v>1</v>
      </c>
      <c r="N20" s="1">
        <v>1</v>
      </c>
      <c r="O20" s="66"/>
      <c r="P20" s="4">
        <f t="shared" si="3"/>
        <v>8</v>
      </c>
      <c r="Q20" s="4">
        <f t="shared" si="4"/>
        <v>2</v>
      </c>
      <c r="R20" s="4">
        <f t="shared" si="5"/>
        <v>0</v>
      </c>
      <c r="S20" s="4">
        <f t="shared" si="11"/>
        <v>1</v>
      </c>
      <c r="T20" s="4">
        <f t="shared" si="6"/>
        <v>0</v>
      </c>
      <c r="U20" s="10">
        <f t="shared" si="7"/>
        <v>0.8</v>
      </c>
      <c r="Z20" s="8"/>
      <c r="AB20" s="3"/>
      <c r="AC20" s="3"/>
    </row>
    <row r="21" spans="1:30" ht="18" x14ac:dyDescent="0.3">
      <c r="A21" s="47">
        <v>10</v>
      </c>
      <c r="B21" s="38">
        <v>7</v>
      </c>
      <c r="C21" s="38" t="s">
        <v>32</v>
      </c>
      <c r="D21" s="1">
        <v>1</v>
      </c>
      <c r="E21" s="1">
        <v>1</v>
      </c>
      <c r="F21" s="4">
        <v>1</v>
      </c>
      <c r="G21" s="1">
        <v>1</v>
      </c>
      <c r="H21" s="1">
        <v>1</v>
      </c>
      <c r="I21" s="63"/>
      <c r="J21" s="4">
        <v>1</v>
      </c>
      <c r="K21" s="1">
        <v>1</v>
      </c>
      <c r="L21" s="1">
        <v>1</v>
      </c>
      <c r="M21" s="1">
        <v>1</v>
      </c>
      <c r="N21" s="1">
        <v>1</v>
      </c>
      <c r="O21" s="66"/>
      <c r="P21" s="4">
        <f t="shared" si="3"/>
        <v>10</v>
      </c>
      <c r="Q21" s="4">
        <f t="shared" si="4"/>
        <v>0</v>
      </c>
      <c r="R21" s="4">
        <f t="shared" si="5"/>
        <v>0</v>
      </c>
      <c r="S21" s="4">
        <f t="shared" si="11"/>
        <v>0</v>
      </c>
      <c r="T21" s="4">
        <f t="shared" si="6"/>
        <v>0</v>
      </c>
      <c r="U21" s="10">
        <f t="shared" si="7"/>
        <v>1</v>
      </c>
      <c r="Z21" s="8"/>
    </row>
    <row r="22" spans="1:30" ht="18" x14ac:dyDescent="0.3">
      <c r="A22" s="47">
        <v>11</v>
      </c>
      <c r="B22" s="38">
        <v>7</v>
      </c>
      <c r="C22" s="38" t="s">
        <v>33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63"/>
      <c r="J22" s="4" t="s">
        <v>50</v>
      </c>
      <c r="K22" s="1">
        <v>1</v>
      </c>
      <c r="L22" s="1">
        <v>1</v>
      </c>
      <c r="M22" s="1">
        <v>1</v>
      </c>
      <c r="N22" s="1">
        <v>1</v>
      </c>
      <c r="O22" s="66"/>
      <c r="P22" s="4">
        <f t="shared" si="3"/>
        <v>10</v>
      </c>
      <c r="Q22" s="4">
        <f t="shared" si="4"/>
        <v>0</v>
      </c>
      <c r="R22" s="4">
        <f t="shared" si="5"/>
        <v>0</v>
      </c>
      <c r="S22" s="4">
        <f t="shared" si="11"/>
        <v>1</v>
      </c>
      <c r="T22" s="4">
        <f t="shared" si="6"/>
        <v>0</v>
      </c>
      <c r="U22" s="10">
        <f t="shared" si="7"/>
        <v>1</v>
      </c>
      <c r="Z22" s="8"/>
      <c r="AA22" s="3"/>
      <c r="AB22" s="3"/>
      <c r="AC22" s="3"/>
    </row>
    <row r="23" spans="1:30" ht="18" x14ac:dyDescent="0.3">
      <c r="A23" s="47">
        <v>12</v>
      </c>
      <c r="B23" s="38">
        <v>8</v>
      </c>
      <c r="C23" s="38" t="s">
        <v>34</v>
      </c>
      <c r="D23" s="1" t="s">
        <v>6</v>
      </c>
      <c r="E23" s="1" t="s">
        <v>6</v>
      </c>
      <c r="F23" s="4" t="s">
        <v>6</v>
      </c>
      <c r="G23" s="1">
        <v>1</v>
      </c>
      <c r="H23" s="1">
        <v>1</v>
      </c>
      <c r="I23" s="63"/>
      <c r="J23" s="4" t="s">
        <v>50</v>
      </c>
      <c r="K23" s="1">
        <v>1</v>
      </c>
      <c r="L23" s="1">
        <v>1</v>
      </c>
      <c r="M23" s="1">
        <v>1</v>
      </c>
      <c r="N23" s="1">
        <v>1</v>
      </c>
      <c r="O23" s="66"/>
      <c r="P23" s="4">
        <f t="shared" si="3"/>
        <v>10</v>
      </c>
      <c r="Q23" s="4">
        <f t="shared" si="4"/>
        <v>0</v>
      </c>
      <c r="R23" s="4">
        <f t="shared" si="5"/>
        <v>0</v>
      </c>
      <c r="S23" s="4">
        <f t="shared" si="11"/>
        <v>1</v>
      </c>
      <c r="T23" s="4">
        <f t="shared" si="6"/>
        <v>3</v>
      </c>
      <c r="U23" s="10">
        <f t="shared" si="7"/>
        <v>1</v>
      </c>
      <c r="Z23" s="7"/>
    </row>
    <row r="24" spans="1:30" ht="18" x14ac:dyDescent="0.3">
      <c r="A24" s="47">
        <v>13</v>
      </c>
      <c r="B24" s="38">
        <v>8</v>
      </c>
      <c r="C24" s="38" t="s">
        <v>35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63"/>
      <c r="J24" s="4">
        <v>1</v>
      </c>
      <c r="K24" s="1">
        <v>1</v>
      </c>
      <c r="L24" s="1" t="s">
        <v>50</v>
      </c>
      <c r="M24" s="1">
        <v>1</v>
      </c>
      <c r="N24" s="1" t="s">
        <v>50</v>
      </c>
      <c r="O24" s="66"/>
      <c r="P24" s="4">
        <f t="shared" si="3"/>
        <v>10</v>
      </c>
      <c r="Q24" s="4">
        <f t="shared" si="4"/>
        <v>0</v>
      </c>
      <c r="R24" s="4">
        <f t="shared" si="5"/>
        <v>0</v>
      </c>
      <c r="S24" s="4">
        <f t="shared" si="11"/>
        <v>2</v>
      </c>
      <c r="T24" s="4">
        <f t="shared" si="6"/>
        <v>0</v>
      </c>
      <c r="U24" s="10">
        <f t="shared" si="7"/>
        <v>1</v>
      </c>
    </row>
    <row r="25" spans="1:30" ht="18" x14ac:dyDescent="0.3">
      <c r="A25" s="47">
        <v>14</v>
      </c>
      <c r="B25" s="38">
        <v>8</v>
      </c>
      <c r="C25" s="38" t="s">
        <v>36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63"/>
      <c r="J25" s="4" t="s">
        <v>50</v>
      </c>
      <c r="K25" s="4" t="s">
        <v>50</v>
      </c>
      <c r="L25" s="4">
        <v>1</v>
      </c>
      <c r="M25" s="4">
        <v>1</v>
      </c>
      <c r="N25" s="1">
        <v>1</v>
      </c>
      <c r="O25" s="66"/>
      <c r="P25" s="4">
        <f t="shared" si="3"/>
        <v>10</v>
      </c>
      <c r="Q25" s="4">
        <f t="shared" si="4"/>
        <v>0</v>
      </c>
      <c r="R25" s="4">
        <f t="shared" si="5"/>
        <v>0</v>
      </c>
      <c r="S25" s="4">
        <f t="shared" si="11"/>
        <v>2</v>
      </c>
      <c r="T25" s="4">
        <f t="shared" si="6"/>
        <v>0</v>
      </c>
      <c r="U25" s="10">
        <f t="shared" si="7"/>
        <v>1</v>
      </c>
    </row>
    <row r="26" spans="1:30" ht="18" x14ac:dyDescent="0.3">
      <c r="A26" s="47">
        <v>15</v>
      </c>
      <c r="B26" s="38">
        <v>9</v>
      </c>
      <c r="C26" s="38" t="s">
        <v>37</v>
      </c>
      <c r="D26" s="4">
        <v>1</v>
      </c>
      <c r="E26" s="4">
        <v>1</v>
      </c>
      <c r="F26" s="1">
        <v>1</v>
      </c>
      <c r="G26" s="1">
        <v>1</v>
      </c>
      <c r="H26" s="4">
        <v>1</v>
      </c>
      <c r="I26" s="63"/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66"/>
      <c r="P26" s="4">
        <f t="shared" si="3"/>
        <v>10</v>
      </c>
      <c r="Q26" s="4">
        <f t="shared" ref="Q26:Q40" si="12">COUNTIF(D26:N26,0)</f>
        <v>0</v>
      </c>
      <c r="R26" s="4">
        <f t="shared" ref="R26:R40" si="13">COUNTIF(D26:N26,"T")</f>
        <v>0</v>
      </c>
      <c r="S26" s="4">
        <f t="shared" si="11"/>
        <v>0</v>
      </c>
      <c r="T26" s="4">
        <f t="shared" ref="T26:T40" si="14">COUNTIF(D26:N26,"J")</f>
        <v>0</v>
      </c>
      <c r="U26" s="10">
        <f t="shared" si="7"/>
        <v>1</v>
      </c>
    </row>
    <row r="27" spans="1:30" ht="18" x14ac:dyDescent="0.3">
      <c r="A27" s="47">
        <v>16</v>
      </c>
      <c r="B27" s="38">
        <v>9</v>
      </c>
      <c r="C27" s="38" t="s">
        <v>38</v>
      </c>
      <c r="D27" s="4">
        <v>1</v>
      </c>
      <c r="E27" s="4">
        <v>1</v>
      </c>
      <c r="F27" s="1">
        <v>1</v>
      </c>
      <c r="G27" s="1">
        <v>1</v>
      </c>
      <c r="H27" s="4" t="s">
        <v>50</v>
      </c>
      <c r="I27" s="63"/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66"/>
      <c r="P27" s="4">
        <f t="shared" si="3"/>
        <v>10</v>
      </c>
      <c r="Q27" s="4">
        <f t="shared" si="12"/>
        <v>0</v>
      </c>
      <c r="R27" s="4">
        <f t="shared" si="13"/>
        <v>0</v>
      </c>
      <c r="S27" s="4">
        <f t="shared" si="11"/>
        <v>1</v>
      </c>
      <c r="T27" s="4">
        <f t="shared" si="14"/>
        <v>0</v>
      </c>
      <c r="U27" s="10">
        <f t="shared" si="7"/>
        <v>1</v>
      </c>
    </row>
    <row r="28" spans="1:30" ht="18" x14ac:dyDescent="0.3">
      <c r="A28" s="47">
        <v>17</v>
      </c>
      <c r="B28" s="38">
        <v>9</v>
      </c>
      <c r="C28" s="38" t="s">
        <v>39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63"/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66"/>
      <c r="P28" s="4">
        <f t="shared" si="3"/>
        <v>10</v>
      </c>
      <c r="Q28" s="4">
        <f t="shared" si="12"/>
        <v>0</v>
      </c>
      <c r="R28" s="4">
        <f t="shared" si="13"/>
        <v>0</v>
      </c>
      <c r="S28" s="4">
        <f t="shared" si="11"/>
        <v>0</v>
      </c>
      <c r="T28" s="4">
        <f t="shared" si="14"/>
        <v>0</v>
      </c>
      <c r="U28" s="10">
        <f t="shared" si="7"/>
        <v>1</v>
      </c>
    </row>
    <row r="29" spans="1:30" ht="18" x14ac:dyDescent="0.3">
      <c r="A29" s="47">
        <v>18</v>
      </c>
      <c r="B29" s="38">
        <v>9</v>
      </c>
      <c r="C29" s="38" t="s">
        <v>54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63"/>
      <c r="J29" s="4">
        <v>1</v>
      </c>
      <c r="K29" s="1">
        <v>1</v>
      </c>
      <c r="L29" s="4">
        <v>1</v>
      </c>
      <c r="M29" s="4">
        <v>1</v>
      </c>
      <c r="N29" s="4">
        <v>1</v>
      </c>
      <c r="O29" s="66"/>
      <c r="P29" s="4">
        <f t="shared" si="3"/>
        <v>10</v>
      </c>
      <c r="Q29" s="4">
        <f t="shared" ref="Q29" si="15">COUNTIF(D29:N29,0)</f>
        <v>0</v>
      </c>
      <c r="R29" s="4">
        <f t="shared" ref="R29" si="16">COUNTIF(D29:N29,"T")</f>
        <v>0</v>
      </c>
      <c r="S29" s="4">
        <f t="shared" ref="S29" si="17">COUNTIF(D29:N29,"U")</f>
        <v>0</v>
      </c>
      <c r="T29" s="4">
        <f t="shared" ref="T29" si="18">COUNTIF(D29:N29,"J")</f>
        <v>0</v>
      </c>
      <c r="U29" s="10">
        <f t="shared" si="7"/>
        <v>1</v>
      </c>
    </row>
    <row r="30" spans="1:30" ht="18" x14ac:dyDescent="0.3">
      <c r="A30" s="47">
        <v>19</v>
      </c>
      <c r="B30" s="38">
        <v>9</v>
      </c>
      <c r="C30" s="38" t="s">
        <v>40</v>
      </c>
      <c r="D30" s="4">
        <v>1</v>
      </c>
      <c r="E30" s="4">
        <v>1</v>
      </c>
      <c r="F30" s="1">
        <v>1</v>
      </c>
      <c r="G30" s="1">
        <v>1</v>
      </c>
      <c r="H30" s="4">
        <v>1</v>
      </c>
      <c r="I30" s="63"/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66"/>
      <c r="P30" s="4">
        <f t="shared" si="3"/>
        <v>10</v>
      </c>
      <c r="Q30" s="4">
        <f t="shared" si="12"/>
        <v>0</v>
      </c>
      <c r="R30" s="4">
        <f t="shared" si="13"/>
        <v>0</v>
      </c>
      <c r="S30" s="4">
        <f t="shared" si="11"/>
        <v>0</v>
      </c>
      <c r="T30" s="4">
        <f t="shared" si="14"/>
        <v>0</v>
      </c>
      <c r="U30" s="10">
        <f t="shared" si="7"/>
        <v>1</v>
      </c>
    </row>
    <row r="31" spans="1:30" ht="18" x14ac:dyDescent="0.3">
      <c r="A31" s="47">
        <v>20</v>
      </c>
      <c r="B31" s="38">
        <v>9</v>
      </c>
      <c r="C31" s="38" t="s">
        <v>41</v>
      </c>
      <c r="D31" s="4">
        <v>1</v>
      </c>
      <c r="E31" s="4">
        <v>1</v>
      </c>
      <c r="F31" s="1">
        <v>1</v>
      </c>
      <c r="G31" s="1">
        <v>1</v>
      </c>
      <c r="H31" s="4">
        <v>1</v>
      </c>
      <c r="I31" s="63"/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66"/>
      <c r="P31" s="4">
        <f t="shared" si="3"/>
        <v>10</v>
      </c>
      <c r="Q31" s="4">
        <f t="shared" si="12"/>
        <v>0</v>
      </c>
      <c r="R31" s="4">
        <f t="shared" si="13"/>
        <v>0</v>
      </c>
      <c r="S31" s="4">
        <f t="shared" si="11"/>
        <v>0</v>
      </c>
      <c r="T31" s="4">
        <f t="shared" si="14"/>
        <v>0</v>
      </c>
      <c r="U31" s="10">
        <f t="shared" si="7"/>
        <v>1</v>
      </c>
    </row>
    <row r="32" spans="1:30" ht="18" x14ac:dyDescent="0.3">
      <c r="A32" s="47">
        <v>21</v>
      </c>
      <c r="B32" s="38">
        <v>9</v>
      </c>
      <c r="C32" s="38" t="s">
        <v>42</v>
      </c>
      <c r="D32" s="4">
        <v>1</v>
      </c>
      <c r="E32" s="4">
        <v>1</v>
      </c>
      <c r="F32" s="1">
        <v>1</v>
      </c>
      <c r="G32" s="1">
        <v>1</v>
      </c>
      <c r="H32" s="4">
        <v>1</v>
      </c>
      <c r="I32" s="63"/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66"/>
      <c r="P32" s="4">
        <f t="shared" si="3"/>
        <v>10</v>
      </c>
      <c r="Q32" s="4">
        <f t="shared" si="12"/>
        <v>0</v>
      </c>
      <c r="R32" s="4">
        <f t="shared" si="13"/>
        <v>0</v>
      </c>
      <c r="S32" s="4">
        <f t="shared" si="11"/>
        <v>0</v>
      </c>
      <c r="T32" s="4">
        <f t="shared" si="14"/>
        <v>0</v>
      </c>
      <c r="U32" s="10">
        <f t="shared" si="7"/>
        <v>1</v>
      </c>
    </row>
    <row r="33" spans="1:21" ht="18" x14ac:dyDescent="0.3">
      <c r="A33" s="47">
        <v>22</v>
      </c>
      <c r="B33" s="38">
        <v>10</v>
      </c>
      <c r="C33" s="38" t="s">
        <v>43</v>
      </c>
      <c r="D33" s="4">
        <v>1</v>
      </c>
      <c r="E33" s="4">
        <v>1</v>
      </c>
      <c r="F33" s="1">
        <v>1</v>
      </c>
      <c r="G33" s="1">
        <v>1</v>
      </c>
      <c r="H33" s="4">
        <v>1</v>
      </c>
      <c r="I33" s="63"/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66"/>
      <c r="P33" s="4">
        <f t="shared" si="3"/>
        <v>10</v>
      </c>
      <c r="Q33" s="4">
        <f t="shared" si="12"/>
        <v>0</v>
      </c>
      <c r="R33" s="4">
        <f t="shared" si="13"/>
        <v>0</v>
      </c>
      <c r="S33" s="4">
        <f t="shared" si="11"/>
        <v>0</v>
      </c>
      <c r="T33" s="4">
        <f t="shared" si="14"/>
        <v>0</v>
      </c>
      <c r="U33" s="10">
        <f t="shared" si="7"/>
        <v>1</v>
      </c>
    </row>
    <row r="34" spans="1:21" ht="18" x14ac:dyDescent="0.3">
      <c r="A34" s="47">
        <v>23</v>
      </c>
      <c r="B34" s="38">
        <v>10</v>
      </c>
      <c r="C34" s="38" t="s">
        <v>44</v>
      </c>
      <c r="D34" s="4">
        <v>1</v>
      </c>
      <c r="E34" s="4">
        <v>1</v>
      </c>
      <c r="F34" s="1">
        <v>1</v>
      </c>
      <c r="G34" s="1">
        <v>1</v>
      </c>
      <c r="H34" s="4">
        <v>1</v>
      </c>
      <c r="I34" s="63"/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66"/>
      <c r="P34" s="4">
        <f t="shared" si="3"/>
        <v>10</v>
      </c>
      <c r="Q34" s="4">
        <f t="shared" si="12"/>
        <v>0</v>
      </c>
      <c r="R34" s="4">
        <f t="shared" si="13"/>
        <v>0</v>
      </c>
      <c r="S34" s="4">
        <f t="shared" si="11"/>
        <v>0</v>
      </c>
      <c r="T34" s="4">
        <f t="shared" si="14"/>
        <v>0</v>
      </c>
      <c r="U34" s="10">
        <f t="shared" si="7"/>
        <v>1</v>
      </c>
    </row>
    <row r="35" spans="1:21" ht="18" x14ac:dyDescent="0.3">
      <c r="A35" s="47">
        <v>24</v>
      </c>
      <c r="B35" s="38">
        <v>10</v>
      </c>
      <c r="C35" s="38" t="s">
        <v>45</v>
      </c>
      <c r="D35" s="4">
        <v>1</v>
      </c>
      <c r="E35" s="4">
        <v>1</v>
      </c>
      <c r="F35" s="1">
        <v>1</v>
      </c>
      <c r="G35" s="1">
        <v>1</v>
      </c>
      <c r="H35" s="4">
        <v>1</v>
      </c>
      <c r="I35" s="63"/>
      <c r="J35" s="4">
        <v>1</v>
      </c>
      <c r="K35" s="4">
        <v>1</v>
      </c>
      <c r="L35" s="4">
        <v>1</v>
      </c>
      <c r="M35" s="4">
        <v>1</v>
      </c>
      <c r="N35" s="4" t="s">
        <v>50</v>
      </c>
      <c r="O35" s="66"/>
      <c r="P35" s="4">
        <f t="shared" si="3"/>
        <v>10</v>
      </c>
      <c r="Q35" s="4">
        <f t="shared" si="12"/>
        <v>0</v>
      </c>
      <c r="R35" s="4">
        <f t="shared" si="13"/>
        <v>0</v>
      </c>
      <c r="S35" s="4">
        <f t="shared" si="11"/>
        <v>1</v>
      </c>
      <c r="T35" s="4">
        <f t="shared" si="14"/>
        <v>0</v>
      </c>
      <c r="U35" s="10">
        <f t="shared" si="7"/>
        <v>1</v>
      </c>
    </row>
    <row r="36" spans="1:21" ht="18" x14ac:dyDescent="0.3">
      <c r="A36" s="47">
        <v>25</v>
      </c>
      <c r="B36" s="38">
        <v>10</v>
      </c>
      <c r="C36" s="38" t="s">
        <v>46</v>
      </c>
      <c r="D36" s="4">
        <v>1</v>
      </c>
      <c r="E36" s="4">
        <v>1</v>
      </c>
      <c r="F36" s="1">
        <v>1</v>
      </c>
      <c r="G36" s="1">
        <v>1</v>
      </c>
      <c r="H36" s="4">
        <v>1</v>
      </c>
      <c r="I36" s="63"/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66"/>
      <c r="P36" s="4">
        <f t="shared" si="3"/>
        <v>10</v>
      </c>
      <c r="Q36" s="4">
        <f t="shared" si="12"/>
        <v>0</v>
      </c>
      <c r="R36" s="4">
        <f t="shared" si="13"/>
        <v>0</v>
      </c>
      <c r="S36" s="4">
        <f t="shared" si="11"/>
        <v>0</v>
      </c>
      <c r="T36" s="4">
        <f t="shared" si="14"/>
        <v>0</v>
      </c>
      <c r="U36" s="10">
        <f t="shared" si="7"/>
        <v>1</v>
      </c>
    </row>
    <row r="37" spans="1:21" ht="18" x14ac:dyDescent="0.3">
      <c r="A37" s="47">
        <v>26</v>
      </c>
      <c r="B37" s="38">
        <v>10</v>
      </c>
      <c r="C37" s="38" t="s">
        <v>47</v>
      </c>
      <c r="D37" s="4">
        <v>0</v>
      </c>
      <c r="E37" s="4">
        <v>0</v>
      </c>
      <c r="F37" s="1">
        <v>1</v>
      </c>
      <c r="G37" s="1">
        <v>1</v>
      </c>
      <c r="H37" s="4" t="s">
        <v>50</v>
      </c>
      <c r="I37" s="63"/>
      <c r="J37" s="4" t="s">
        <v>11</v>
      </c>
      <c r="K37" s="4">
        <v>1</v>
      </c>
      <c r="L37" s="1" t="s">
        <v>50</v>
      </c>
      <c r="M37" s="4">
        <v>1</v>
      </c>
      <c r="N37" s="4">
        <v>1</v>
      </c>
      <c r="O37" s="66"/>
      <c r="P37" s="4">
        <f t="shared" si="3"/>
        <v>7</v>
      </c>
      <c r="Q37" s="4">
        <f t="shared" si="12"/>
        <v>2</v>
      </c>
      <c r="R37" s="4">
        <f t="shared" si="13"/>
        <v>0</v>
      </c>
      <c r="S37" s="4">
        <f t="shared" si="11"/>
        <v>2</v>
      </c>
      <c r="T37" s="4">
        <f t="shared" si="14"/>
        <v>0</v>
      </c>
      <c r="U37" s="10">
        <f t="shared" si="7"/>
        <v>0.7</v>
      </c>
    </row>
    <row r="38" spans="1:21" ht="18" x14ac:dyDescent="0.3">
      <c r="A38" s="47">
        <v>27</v>
      </c>
      <c r="B38" s="38">
        <v>10</v>
      </c>
      <c r="C38" s="38" t="s">
        <v>56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63"/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66"/>
      <c r="P38" s="4">
        <f t="shared" ref="P38" si="19">COUNTIF(D38:N38, 1) + COUNTIF(D38:N38, "U")+ COUNTIF(D38:N38, "T") + COUNTIF(D38:N38, "J")</f>
        <v>10</v>
      </c>
      <c r="Q38" s="4">
        <f t="shared" ref="Q38" si="20">COUNTIF(D38:N38,0)</f>
        <v>0</v>
      </c>
      <c r="R38" s="4">
        <f t="shared" ref="R38" si="21">COUNTIF(D38:N38,"T")</f>
        <v>0</v>
      </c>
      <c r="S38" s="4">
        <f t="shared" ref="S38" si="22">COUNTIF(D38:N38,"U")</f>
        <v>0</v>
      </c>
      <c r="T38" s="4">
        <f t="shared" ref="T38" si="23">COUNTIF(D38:N38,"J")</f>
        <v>10</v>
      </c>
      <c r="U38" s="10">
        <f t="shared" ref="U38" si="24">SUM(P38)/COUNTA($D$11:$N$11)</f>
        <v>1</v>
      </c>
    </row>
    <row r="39" spans="1:21" ht="18" x14ac:dyDescent="0.3">
      <c r="A39" s="47">
        <v>28</v>
      </c>
      <c r="B39" s="38">
        <v>10</v>
      </c>
      <c r="C39" s="38" t="s">
        <v>48</v>
      </c>
      <c r="D39" s="4">
        <v>1</v>
      </c>
      <c r="E39" s="4">
        <v>1</v>
      </c>
      <c r="F39" s="1">
        <v>1</v>
      </c>
      <c r="G39" s="4" t="s">
        <v>50</v>
      </c>
      <c r="H39" s="4" t="s">
        <v>50</v>
      </c>
      <c r="I39" s="63"/>
      <c r="J39" s="4">
        <v>1</v>
      </c>
      <c r="K39" s="4" t="s">
        <v>50</v>
      </c>
      <c r="L39" s="1">
        <v>1</v>
      </c>
      <c r="M39" s="4">
        <v>1</v>
      </c>
      <c r="N39" s="4" t="s">
        <v>50</v>
      </c>
      <c r="O39" s="66"/>
      <c r="P39" s="4">
        <f t="shared" ref="P39:P40" si="25">COUNTIF(D39:N39, 1) + COUNTIF(D39:N39, "U")+ COUNTIF(D39:N39, "T")</f>
        <v>10</v>
      </c>
      <c r="Q39" s="4">
        <f t="shared" si="12"/>
        <v>0</v>
      </c>
      <c r="R39" s="4">
        <f t="shared" si="13"/>
        <v>0</v>
      </c>
      <c r="S39" s="4">
        <f t="shared" si="11"/>
        <v>4</v>
      </c>
      <c r="T39" s="4">
        <f t="shared" si="14"/>
        <v>0</v>
      </c>
      <c r="U39" s="10">
        <f>SUM(P39)/COUNTA(D37:N37)</f>
        <v>1</v>
      </c>
    </row>
    <row r="40" spans="1:21" ht="18" x14ac:dyDescent="0.3">
      <c r="A40" s="47">
        <v>29</v>
      </c>
      <c r="B40" s="38">
        <v>11</v>
      </c>
      <c r="C40" s="38" t="s">
        <v>49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64"/>
      <c r="J40" s="4">
        <v>1</v>
      </c>
      <c r="K40" s="4">
        <v>1</v>
      </c>
      <c r="L40" s="1" t="s">
        <v>50</v>
      </c>
      <c r="M40" s="4">
        <v>1</v>
      </c>
      <c r="N40" s="4" t="s">
        <v>50</v>
      </c>
      <c r="O40" s="67"/>
      <c r="P40" s="4">
        <f t="shared" si="25"/>
        <v>5</v>
      </c>
      <c r="Q40" s="4">
        <f t="shared" si="12"/>
        <v>0</v>
      </c>
      <c r="R40" s="4">
        <f t="shared" si="13"/>
        <v>0</v>
      </c>
      <c r="S40" s="4">
        <f t="shared" si="11"/>
        <v>2</v>
      </c>
      <c r="T40" s="4">
        <f t="shared" si="14"/>
        <v>5</v>
      </c>
      <c r="U40" s="10">
        <f t="shared" ref="U40" si="26">SUM(P40)/COUNTA(D39:N39)</f>
        <v>0.5</v>
      </c>
    </row>
  </sheetData>
  <mergeCells count="21">
    <mergeCell ref="X11:AD11"/>
    <mergeCell ref="I11:I40"/>
    <mergeCell ref="O11:O40"/>
    <mergeCell ref="C2:AA6"/>
    <mergeCell ref="AB2:AD3"/>
    <mergeCell ref="AB4:AD5"/>
    <mergeCell ref="AB6:AD7"/>
    <mergeCell ref="C7:AA7"/>
    <mergeCell ref="A8:AD8"/>
    <mergeCell ref="A9:B9"/>
    <mergeCell ref="A10:B10"/>
    <mergeCell ref="C10:J10"/>
    <mergeCell ref="K10:T10"/>
    <mergeCell ref="U10:AA10"/>
    <mergeCell ref="AB10:AC10"/>
    <mergeCell ref="A1:B7"/>
    <mergeCell ref="C1:AD1"/>
    <mergeCell ref="C9:G9"/>
    <mergeCell ref="H9:J9"/>
    <mergeCell ref="K9:T9"/>
    <mergeCell ref="V9:AD9"/>
  </mergeCells>
  <conditionalFormatting sqref="C19:C20 C16">
    <cfRule type="colorScale" priority="227">
      <colorScale>
        <cfvo type="min"/>
        <cfvo type="max"/>
        <color rgb="FFFFEF9C"/>
        <color rgb="FF63BE7B"/>
      </colorScale>
    </cfRule>
  </conditionalFormatting>
  <conditionalFormatting sqref="D12:H12">
    <cfRule type="cellIs" dxfId="963" priority="25" stopIfTrue="1" operator="equal">
      <formula>"T"</formula>
    </cfRule>
    <cfRule type="cellIs" dxfId="962" priority="26" operator="equal">
      <formula>"J"</formula>
    </cfRule>
  </conditionalFormatting>
  <conditionalFormatting sqref="D12:H40">
    <cfRule type="cellIs" dxfId="961" priority="24" operator="equal">
      <formula>"U"</formula>
    </cfRule>
  </conditionalFormatting>
  <conditionalFormatting sqref="D13:N25 I11:I12 I26:N37 D26:F40 E28:H29 I39:N40">
    <cfRule type="cellIs" dxfId="960" priority="216" operator="equal">
      <formula>"J"</formula>
    </cfRule>
  </conditionalFormatting>
  <conditionalFormatting sqref="D13:N25 I26:N37 D26:F40 E28:H29 I39:N40 I11:I12">
    <cfRule type="cellIs" dxfId="959" priority="212" stopIfTrue="1" operator="equal">
      <formula>"T"</formula>
    </cfRule>
  </conditionalFormatting>
  <conditionalFormatting sqref="F26:F39">
    <cfRule type="cellIs" dxfId="958" priority="186" operator="equal">
      <formula>"T"</formula>
    </cfRule>
  </conditionalFormatting>
  <conditionalFormatting sqref="G26:G38">
    <cfRule type="cellIs" dxfId="957" priority="180" operator="equal">
      <formula>"T"</formula>
    </cfRule>
  </conditionalFormatting>
  <conditionalFormatting sqref="G19:H19">
    <cfRule type="cellIs" dxfId="956" priority="215" operator="equal">
      <formula>"T, t"</formula>
    </cfRule>
  </conditionalFormatting>
  <conditionalFormatting sqref="G26:H40">
    <cfRule type="cellIs" dxfId="955" priority="184" operator="equal">
      <formula>"J"</formula>
    </cfRule>
    <cfRule type="cellIs" dxfId="954" priority="182" stopIfTrue="1" operator="equal">
      <formula>"T"</formula>
    </cfRule>
  </conditionalFormatting>
  <conditionalFormatting sqref="I11:I12 J13:N25 E15:H25 O11:O12">
    <cfRule type="cellIs" dxfId="953" priority="217" operator="equal">
      <formula>"T"</formula>
    </cfRule>
  </conditionalFormatting>
  <conditionalFormatting sqref="I38:N38">
    <cfRule type="cellIs" dxfId="952" priority="3" operator="equal">
      <formula>"J"</formula>
    </cfRule>
    <cfRule type="cellIs" dxfId="951" priority="2" stopIfTrue="1" operator="equal">
      <formula>"T"</formula>
    </cfRule>
  </conditionalFormatting>
  <conditionalFormatting sqref="J26:J36">
    <cfRule type="cellIs" dxfId="950" priority="173" operator="equal">
      <formula>"J"</formula>
    </cfRule>
    <cfRule type="cellIs" dxfId="949" priority="172" stopIfTrue="1" operator="equal">
      <formula>"T"</formula>
    </cfRule>
    <cfRule type="cellIs" dxfId="948" priority="171" operator="equal">
      <formula>"U"</formula>
    </cfRule>
  </conditionalFormatting>
  <conditionalFormatting sqref="J18:K25">
    <cfRule type="cellIs" dxfId="947" priority="218" stopIfTrue="1" operator="equal">
      <formula>"J"</formula>
    </cfRule>
  </conditionalFormatting>
  <conditionalFormatting sqref="J12:N12">
    <cfRule type="cellIs" dxfId="946" priority="6" operator="equal">
      <formula>"J"</formula>
    </cfRule>
    <cfRule type="cellIs" dxfId="945" priority="5" stopIfTrue="1" operator="equal">
      <formula>"T"</formula>
    </cfRule>
    <cfRule type="cellIs" dxfId="944" priority="4" operator="equal">
      <formula>"U"</formula>
    </cfRule>
  </conditionalFormatting>
  <conditionalFormatting sqref="J13:N37">
    <cfRule type="cellIs" dxfId="943" priority="211" operator="equal">
      <formula>"U"</formula>
    </cfRule>
  </conditionalFormatting>
  <conditionalFormatting sqref="J38:N40">
    <cfRule type="cellIs" dxfId="942" priority="1" operator="equal">
      <formula>"U"</formula>
    </cfRule>
  </conditionalFormatting>
  <conditionalFormatting sqref="K26:K28">
    <cfRule type="cellIs" dxfId="941" priority="37" operator="equal">
      <formula>"T"</formula>
    </cfRule>
  </conditionalFormatting>
  <conditionalFormatting sqref="K26:K32">
    <cfRule type="cellIs" dxfId="940" priority="157" operator="equal">
      <formula>"T"</formula>
    </cfRule>
  </conditionalFormatting>
  <conditionalFormatting sqref="K30:K37">
    <cfRule type="cellIs" dxfId="939" priority="133" operator="equal">
      <formula>"U"</formula>
    </cfRule>
    <cfRule type="cellIs" dxfId="938" priority="134" stopIfTrue="1" operator="equal">
      <formula>"T"</formula>
    </cfRule>
    <cfRule type="cellIs" dxfId="937" priority="135" operator="equal">
      <formula>"J"</formula>
    </cfRule>
  </conditionalFormatting>
  <conditionalFormatting sqref="L26:L36">
    <cfRule type="cellIs" dxfId="936" priority="34" operator="equal">
      <formula>"T"</formula>
    </cfRule>
  </conditionalFormatting>
  <conditionalFormatting sqref="L26:M37 L39:M40">
    <cfRule type="cellIs" dxfId="935" priority="62" operator="equal">
      <formula>"T"</formula>
    </cfRule>
  </conditionalFormatting>
  <conditionalFormatting sqref="N13:N14">
    <cfRule type="cellIs" dxfId="934" priority="214" operator="equal">
      <formula>"J"</formula>
    </cfRule>
  </conditionalFormatting>
  <conditionalFormatting sqref="N26:N34">
    <cfRule type="cellIs" dxfId="933" priority="45" operator="equal">
      <formula>"T"</formula>
    </cfRule>
  </conditionalFormatting>
  <conditionalFormatting sqref="N36:N37">
    <cfRule type="cellIs" dxfId="932" priority="41" operator="equal">
      <formula>"T"</formula>
    </cfRule>
  </conditionalFormatting>
  <dataValidations count="1">
    <dataValidation type="list" allowBlank="1" showInputMessage="1" showErrorMessage="1" sqref="D12:H40 J12:N40" xr:uid="{48FC44EC-F67F-4949-9570-240B44DA36C3}">
      <formula1>$Y$13:$Y$17</formula1>
    </dataValidation>
  </dataValidations>
  <pageMargins left="0.23622047244094491" right="0.23622047244094491" top="0.74803149606299213" bottom="0.19685039370078741" header="0.31496062992125984" footer="0.11811023622047245"/>
  <pageSetup scale="70" orientation="landscape" horizontalDpi="4294967293" r:id="rId1"/>
  <headerFooter>
    <oddFooter>&amp;C&amp;G</oddFooter>
  </headerFooter>
  <drawing r:id="rId2"/>
  <legacy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1EC72544-80C5-4FA1-87EA-F702EFC938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D12:H12</xm:sqref>
        </x14:conditionalFormatting>
        <x14:conditionalFormatting xmlns:xm="http://schemas.microsoft.com/office/excel/2006/main">
          <x14:cfRule type="iconSet" priority="226" id="{013BAF19-96BC-4C11-9B80-9EE9299D44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D41:O66 E15:E17 H17:H40 G39:G40 J17:L25 D26:F40 E28:H29 D38:H38 J26:N40</xm:sqref>
        </x14:conditionalFormatting>
        <x14:conditionalFormatting xmlns:xm="http://schemas.microsoft.com/office/excel/2006/main">
          <x14:cfRule type="iconSet" priority="288" id="{4215B84E-2E73-4247-A6F9-BF4F1A9BBD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E15:H15 E16:E17 I11:I12 F17:H17 E18:H25 H15:H25 J15:L25 N15:N25 J13:N14</xm:sqref>
        </x14:conditionalFormatting>
        <x14:conditionalFormatting xmlns:xm="http://schemas.microsoft.com/office/excel/2006/main">
          <x14:cfRule type="iconSet" priority="210" id="{91818FB3-04C0-43C1-855B-75137AF3CD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F16</xm:sqref>
        </x14:conditionalFormatting>
        <x14:conditionalFormatting xmlns:xm="http://schemas.microsoft.com/office/excel/2006/main">
          <x14:cfRule type="iconSet" priority="207" id="{2EDC747D-0B86-4610-BC05-95FC5CBDDD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F27</xm:sqref>
        </x14:conditionalFormatting>
        <x14:conditionalFormatting xmlns:xm="http://schemas.microsoft.com/office/excel/2006/main">
          <x14:cfRule type="iconSet" priority="205" id="{B4B2C447-3B4C-439A-AFA1-1938445403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F28:F29</xm:sqref>
        </x14:conditionalFormatting>
        <x14:conditionalFormatting xmlns:xm="http://schemas.microsoft.com/office/excel/2006/main">
          <x14:cfRule type="iconSet" priority="203" id="{F0C6E1DB-F4FE-4D96-8818-AF91607209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F30</xm:sqref>
        </x14:conditionalFormatting>
        <x14:conditionalFormatting xmlns:xm="http://schemas.microsoft.com/office/excel/2006/main">
          <x14:cfRule type="iconSet" priority="201" id="{075393AE-CCB2-4592-8CA9-B0A0C032A6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F31</xm:sqref>
        </x14:conditionalFormatting>
        <x14:conditionalFormatting xmlns:xm="http://schemas.microsoft.com/office/excel/2006/main">
          <x14:cfRule type="iconSet" priority="199" id="{0EED6A1C-B94C-4894-8FFD-A2B2835E1D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F32</xm:sqref>
        </x14:conditionalFormatting>
        <x14:conditionalFormatting xmlns:xm="http://schemas.microsoft.com/office/excel/2006/main">
          <x14:cfRule type="iconSet" priority="197" id="{BA894152-7368-4BF3-A82E-8839A14CB7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F33</xm:sqref>
        </x14:conditionalFormatting>
        <x14:conditionalFormatting xmlns:xm="http://schemas.microsoft.com/office/excel/2006/main">
          <x14:cfRule type="iconSet" priority="195" id="{E2B66C84-2029-40C4-BC2B-2C98C6F766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F34</xm:sqref>
        </x14:conditionalFormatting>
        <x14:conditionalFormatting xmlns:xm="http://schemas.microsoft.com/office/excel/2006/main">
          <x14:cfRule type="iconSet" priority="193" id="{A83FB668-76AA-49BF-96C9-9CEBC14994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F35</xm:sqref>
        </x14:conditionalFormatting>
        <x14:conditionalFormatting xmlns:xm="http://schemas.microsoft.com/office/excel/2006/main">
          <x14:cfRule type="iconSet" priority="191" id="{B28B57C5-7925-44B9-9DCB-A1D516A354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F36</xm:sqref>
        </x14:conditionalFormatting>
        <x14:conditionalFormatting xmlns:xm="http://schemas.microsoft.com/office/excel/2006/main">
          <x14:cfRule type="iconSet" priority="189" id="{8799E7C0-4A69-47BC-A868-8954F18AD9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F37:F38</xm:sqref>
        </x14:conditionalFormatting>
        <x14:conditionalFormatting xmlns:xm="http://schemas.microsoft.com/office/excel/2006/main">
          <x14:cfRule type="iconSet" priority="187" id="{DEABAA2F-D4C8-4065-9FC3-7F4621A8CB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F39</xm:sqref>
        </x14:conditionalFormatting>
        <x14:conditionalFormatting xmlns:xm="http://schemas.microsoft.com/office/excel/2006/main">
          <x14:cfRule type="iconSet" priority="209" id="{A8F72DCE-536F-4B31-B806-993F66E1DC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F26:G26 G27:G38</xm:sqref>
        </x14:conditionalFormatting>
        <x14:conditionalFormatting xmlns:xm="http://schemas.microsoft.com/office/excel/2006/main">
          <x14:cfRule type="iconSet" priority="183" id="{C13D9BBA-D6D0-4D06-9DBE-D5291CEEF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5" id="{EBD59578-CB2D-4BAA-A956-C039B47DEC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G26:G38</xm:sqref>
        </x14:conditionalFormatting>
        <x14:conditionalFormatting xmlns:xm="http://schemas.microsoft.com/office/excel/2006/main">
          <x14:cfRule type="iconSet" priority="338" id="{6FFF7ACA-AEF4-4007-9A1B-F921F804F1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I11:I12 D13:N25 H26:N37 D26:F40 E28:H29 G39:N40 D38:N38</xm:sqref>
        </x14:conditionalFormatting>
        <x14:conditionalFormatting xmlns:xm="http://schemas.microsoft.com/office/excel/2006/main">
          <x14:cfRule type="iconSet" priority="23" id="{10F0F233-9640-4203-89BF-5197C0A452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</xm:sqref>
        </x14:conditionalFormatting>
        <x14:conditionalFormatting xmlns:xm="http://schemas.microsoft.com/office/excel/2006/main">
          <x14:cfRule type="iconSet" priority="19" id="{673732FF-488F-4659-93FF-7A8B459256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</xm:sqref>
        </x14:conditionalFormatting>
        <x14:conditionalFormatting xmlns:xm="http://schemas.microsoft.com/office/excel/2006/main">
          <x14:cfRule type="iconSet" priority="36" id="{59DD4381-55CA-4F04-9CB6-CBAA82B96F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" id="{DE8761F9-D354-40DE-910A-FAF217899C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K26:K28</xm:sqref>
        </x14:conditionalFormatting>
        <x14:conditionalFormatting xmlns:xm="http://schemas.microsoft.com/office/excel/2006/main">
          <x14:cfRule type="iconSet" priority="166" id="{9705C1C8-25D8-44CA-8A8A-8FE3AC7BF4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K27</xm:sqref>
        </x14:conditionalFormatting>
        <x14:conditionalFormatting xmlns:xm="http://schemas.microsoft.com/office/excel/2006/main">
          <x14:cfRule type="iconSet" priority="164" id="{F79D5FEF-0718-4AAD-B61D-AD0FCF4908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K28</xm:sqref>
        </x14:conditionalFormatting>
        <x14:conditionalFormatting xmlns:xm="http://schemas.microsoft.com/office/excel/2006/main">
          <x14:cfRule type="iconSet" priority="170" id="{9541D2B9-3C08-4957-8E98-99CBA76346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K29</xm:sqref>
        </x14:conditionalFormatting>
        <x14:conditionalFormatting xmlns:xm="http://schemas.microsoft.com/office/excel/2006/main">
          <x14:cfRule type="iconSet" priority="162" id="{D742C6C0-CD5E-4B87-A65C-7D29827C1E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K30</xm:sqref>
        </x14:conditionalFormatting>
        <x14:conditionalFormatting xmlns:xm="http://schemas.microsoft.com/office/excel/2006/main">
          <x14:cfRule type="iconSet" priority="160" id="{8AC18AD3-658A-445C-8D4C-346CCD3F9A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158" id="{236C8CA0-6563-4449-98A6-A3C74B2AF3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168" id="{9860C164-0CE4-4848-BACA-2FD010CFB8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K26:L26</xm:sqref>
        </x14:conditionalFormatting>
        <x14:conditionalFormatting xmlns:xm="http://schemas.microsoft.com/office/excel/2006/main">
          <x14:cfRule type="iconSet" priority="15" id="{78D24E10-085B-4E53-AD01-394D6A6E4C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L12</xm:sqref>
        </x14:conditionalFormatting>
        <x14:conditionalFormatting xmlns:xm="http://schemas.microsoft.com/office/excel/2006/main">
          <x14:cfRule type="iconSet" priority="38" id="{C4CC5083-577E-46AE-94EB-8748722407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9" id="{13CC036B-58A3-4E60-AAD9-DA36C39DE5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L26:L28</xm:sqref>
        </x14:conditionalFormatting>
        <x14:conditionalFormatting xmlns:xm="http://schemas.microsoft.com/office/excel/2006/main">
          <x14:cfRule type="iconSet" priority="131" id="{B8745DC5-1E5F-499A-915B-4DE3EA88AB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L27</xm:sqref>
        </x14:conditionalFormatting>
        <x14:conditionalFormatting xmlns:xm="http://schemas.microsoft.com/office/excel/2006/main">
          <x14:cfRule type="iconSet" priority="129" id="{C6FAE821-E15C-47B4-8C1C-3E48433E58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L28</xm:sqref>
        </x14:conditionalFormatting>
        <x14:conditionalFormatting xmlns:xm="http://schemas.microsoft.com/office/excel/2006/main">
          <x14:cfRule type="iconSet" priority="32" id="{4ABAEEB9-2B4C-4CDA-8F1B-58658F7879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3" id="{6F414464-8E5F-4C3C-B6CC-92C7430148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" id="{FCABE659-371A-4ACF-8678-1D80318B43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L29:L36</xm:sqref>
        </x14:conditionalFormatting>
        <x14:conditionalFormatting xmlns:xm="http://schemas.microsoft.com/office/excel/2006/main">
          <x14:cfRule type="iconSet" priority="125" id="{7162F94D-837C-4D67-9034-B7A6496417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123" id="{0E23D32E-8355-4323-95BB-49E5ECDB5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121" id="{845CC4D6-E626-40BC-9A67-D85E44B92B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119" id="{965D744C-17DA-4DE0-85D4-AB8DD192F1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L33</xm:sqref>
        </x14:conditionalFormatting>
        <x14:conditionalFormatting xmlns:xm="http://schemas.microsoft.com/office/excel/2006/main">
          <x14:cfRule type="iconSet" priority="117" id="{66BD23DB-2403-4679-BB91-457001054C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115" id="{293A67AC-E78E-4169-B74E-BEBF4DF74C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113" id="{CBB1A530-D4DB-46EC-AD1F-C225A0D0D6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11" id="{7B6396CB-ED62-44B7-A1D9-CFE422D7F8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109" id="{76EF9266-CC7F-494B-B491-57C93AC2A9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L39</xm:sqref>
        </x14:conditionalFormatting>
        <x14:conditionalFormatting xmlns:xm="http://schemas.microsoft.com/office/excel/2006/main">
          <x14:cfRule type="iconSet" priority="107" id="{9C8FC799-FFD0-44E1-952D-8F4C22D31C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L40</xm:sqref>
        </x14:conditionalFormatting>
        <x14:conditionalFormatting xmlns:xm="http://schemas.microsoft.com/office/excel/2006/main">
          <x14:cfRule type="iconSet" priority="11" id="{82E4CCFD-744B-4F60-AE7E-8473CDAC91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M12</xm:sqref>
        </x14:conditionalFormatting>
        <x14:conditionalFormatting xmlns:xm="http://schemas.microsoft.com/office/excel/2006/main">
          <x14:cfRule type="iconSet" priority="103" id="{9B010AC7-9131-4DBE-8AD6-B995E7CF2A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M15</xm:sqref>
        </x14:conditionalFormatting>
        <x14:conditionalFormatting xmlns:xm="http://schemas.microsoft.com/office/excel/2006/main">
          <x14:cfRule type="iconSet" priority="102" id="{15631836-CEF6-49E4-A6AD-043D0D6784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M16</xm:sqref>
        </x14:conditionalFormatting>
        <x14:conditionalFormatting xmlns:xm="http://schemas.microsoft.com/office/excel/2006/main">
          <x14:cfRule type="iconSet" priority="101" id="{201CAF53-155E-4086-A66D-926E7D69F8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M17</xm:sqref>
        </x14:conditionalFormatting>
        <x14:conditionalFormatting xmlns:xm="http://schemas.microsoft.com/office/excel/2006/main">
          <x14:cfRule type="iconSet" priority="100" id="{874E5B2B-2B76-4254-8FA9-92D0F849D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M18</xm:sqref>
        </x14:conditionalFormatting>
        <x14:conditionalFormatting xmlns:xm="http://schemas.microsoft.com/office/excel/2006/main">
          <x14:cfRule type="iconSet" priority="99" id="{6BE2EB47-DF17-462A-9747-B267FA26BF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M19</xm:sqref>
        </x14:conditionalFormatting>
        <x14:conditionalFormatting xmlns:xm="http://schemas.microsoft.com/office/excel/2006/main">
          <x14:cfRule type="iconSet" priority="98" id="{5A1B1512-68D7-4346-B155-44DA35AC71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M20</xm:sqref>
        </x14:conditionalFormatting>
        <x14:conditionalFormatting xmlns:xm="http://schemas.microsoft.com/office/excel/2006/main">
          <x14:cfRule type="iconSet" priority="97" id="{CC883599-4366-44C1-9A61-05D3CC0289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M21</xm:sqref>
        </x14:conditionalFormatting>
        <x14:conditionalFormatting xmlns:xm="http://schemas.microsoft.com/office/excel/2006/main">
          <x14:cfRule type="iconSet" priority="96" id="{928A8B9E-44DC-4F9A-AF67-15A6212695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M22</xm:sqref>
        </x14:conditionalFormatting>
        <x14:conditionalFormatting xmlns:xm="http://schemas.microsoft.com/office/excel/2006/main">
          <x14:cfRule type="iconSet" priority="95" id="{D182F11C-5C38-4113-B245-D0C81617A5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M23</xm:sqref>
        </x14:conditionalFormatting>
        <x14:conditionalFormatting xmlns:xm="http://schemas.microsoft.com/office/excel/2006/main">
          <x14:cfRule type="iconSet" priority="94" id="{113D1CB7-5B02-4778-AFBD-E648DBF62D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M24</xm:sqref>
        </x14:conditionalFormatting>
        <x14:conditionalFormatting xmlns:xm="http://schemas.microsoft.com/office/excel/2006/main">
          <x14:cfRule type="iconSet" priority="93" id="{DF6637A4-4FF1-4D69-AF9C-E025552341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" id="{3AFFE298-F61F-4E66-87A8-C40D27CEA3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M25</xm:sqref>
        </x14:conditionalFormatting>
        <x14:conditionalFormatting xmlns:xm="http://schemas.microsoft.com/office/excel/2006/main">
          <x14:cfRule type="iconSet" priority="89" id="{B0E37741-1145-4E04-8F0F-3323996BBB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M27</xm:sqref>
        </x14:conditionalFormatting>
        <x14:conditionalFormatting xmlns:xm="http://schemas.microsoft.com/office/excel/2006/main">
          <x14:cfRule type="iconSet" priority="87" id="{CF96DE4F-0512-466F-98EC-F5EC37C90E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M28</xm:sqref>
        </x14:conditionalFormatting>
        <x14:conditionalFormatting xmlns:xm="http://schemas.microsoft.com/office/excel/2006/main">
          <x14:cfRule type="iconSet" priority="85" id="{1675DD3C-D224-4F31-9201-04A646E36F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M29</xm:sqref>
        </x14:conditionalFormatting>
        <x14:conditionalFormatting xmlns:xm="http://schemas.microsoft.com/office/excel/2006/main">
          <x14:cfRule type="iconSet" priority="81" id="{8D5600DD-86DC-4E13-B27B-772BAADAD6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M30</xm:sqref>
        </x14:conditionalFormatting>
        <x14:conditionalFormatting xmlns:xm="http://schemas.microsoft.com/office/excel/2006/main">
          <x14:cfRule type="iconSet" priority="83" id="{0C3E3191-85B9-4312-BE61-D12A77F94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M31</xm:sqref>
        </x14:conditionalFormatting>
        <x14:conditionalFormatting xmlns:xm="http://schemas.microsoft.com/office/excel/2006/main">
          <x14:cfRule type="iconSet" priority="79" id="{AE248B49-BEB0-4ED4-8C27-536C6A9753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M32</xm:sqref>
        </x14:conditionalFormatting>
        <x14:conditionalFormatting xmlns:xm="http://schemas.microsoft.com/office/excel/2006/main">
          <x14:cfRule type="iconSet" priority="77" id="{547A8C46-DA80-460E-9F4B-37FA3FCD27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M33</xm:sqref>
        </x14:conditionalFormatting>
        <x14:conditionalFormatting xmlns:xm="http://schemas.microsoft.com/office/excel/2006/main">
          <x14:cfRule type="iconSet" priority="75" id="{23DD5255-4ECF-4137-8A8A-DEFE46AA7C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M34</xm:sqref>
        </x14:conditionalFormatting>
        <x14:conditionalFormatting xmlns:xm="http://schemas.microsoft.com/office/excel/2006/main">
          <x14:cfRule type="iconSet" priority="73" id="{3F24EF3B-DEF0-460E-A8D8-697C43C4B0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M35</xm:sqref>
        </x14:conditionalFormatting>
        <x14:conditionalFormatting xmlns:xm="http://schemas.microsoft.com/office/excel/2006/main">
          <x14:cfRule type="iconSet" priority="71" id="{77AFB0C7-1506-432B-BF95-D3F7D1C656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M36</xm:sqref>
        </x14:conditionalFormatting>
        <x14:conditionalFormatting xmlns:xm="http://schemas.microsoft.com/office/excel/2006/main">
          <x14:cfRule type="iconSet" priority="69" id="{53A6CEBF-7662-44BB-B721-191D9D8253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M37</xm:sqref>
        </x14:conditionalFormatting>
        <x14:conditionalFormatting xmlns:xm="http://schemas.microsoft.com/office/excel/2006/main">
          <x14:cfRule type="iconSet" priority="67" id="{BDCA945A-4576-4A0F-9CBD-18BBDB75B7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M39</xm:sqref>
        </x14:conditionalFormatting>
        <x14:conditionalFormatting xmlns:xm="http://schemas.microsoft.com/office/excel/2006/main">
          <x14:cfRule type="iconSet" priority="65" id="{25C67DBF-3A50-40E3-BDF6-64CE131E8B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M40</xm:sqref>
        </x14:conditionalFormatting>
        <x14:conditionalFormatting xmlns:xm="http://schemas.microsoft.com/office/excel/2006/main">
          <x14:cfRule type="iconSet" priority="91" id="{99E18CD0-917D-48B6-A6F4-D939D61360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M26:N26</xm:sqref>
        </x14:conditionalFormatting>
        <x14:conditionalFormatting xmlns:xm="http://schemas.microsoft.com/office/excel/2006/main">
          <x14:cfRule type="iconSet" priority="7" id="{7B4FD6A9-7A39-4F3A-B3EA-83B2B7EC8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N12</xm:sqref>
        </x14:conditionalFormatting>
        <x14:conditionalFormatting xmlns:xm="http://schemas.microsoft.com/office/excel/2006/main">
          <x14:cfRule type="iconSet" priority="60" id="{C08D1A88-3FA0-44BE-9948-F5B28A7F45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N27</xm:sqref>
        </x14:conditionalFormatting>
        <x14:conditionalFormatting xmlns:xm="http://schemas.microsoft.com/office/excel/2006/main">
          <x14:cfRule type="iconSet" priority="58" id="{32B8ADD6-4995-42DD-8E04-7169DF82CA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N28</xm:sqref>
        </x14:conditionalFormatting>
        <x14:conditionalFormatting xmlns:xm="http://schemas.microsoft.com/office/excel/2006/main">
          <x14:cfRule type="iconSet" priority="56" id="{AC64298D-A4D0-4237-892C-B789932470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N29</xm:sqref>
        </x14:conditionalFormatting>
        <x14:conditionalFormatting xmlns:xm="http://schemas.microsoft.com/office/excel/2006/main">
          <x14:cfRule type="iconSet" priority="54" id="{EB8C7071-1E9F-4DC9-8F80-B7EC54AA4B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N30</xm:sqref>
        </x14:conditionalFormatting>
        <x14:conditionalFormatting xmlns:xm="http://schemas.microsoft.com/office/excel/2006/main">
          <x14:cfRule type="iconSet" priority="52" id="{96E10CCE-9104-4361-9989-B9CDBA4D3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N31</xm:sqref>
        </x14:conditionalFormatting>
        <x14:conditionalFormatting xmlns:xm="http://schemas.microsoft.com/office/excel/2006/main">
          <x14:cfRule type="iconSet" priority="50" id="{332274E9-46A8-431B-AFDE-EBC069D351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N32</xm:sqref>
        </x14:conditionalFormatting>
        <x14:conditionalFormatting xmlns:xm="http://schemas.microsoft.com/office/excel/2006/main">
          <x14:cfRule type="iconSet" priority="48" id="{E8FE3662-CDE9-4E62-80C5-F4CABA9207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N33</xm:sqref>
        </x14:conditionalFormatting>
        <x14:conditionalFormatting xmlns:xm="http://schemas.microsoft.com/office/excel/2006/main">
          <x14:cfRule type="iconSet" priority="46" id="{C5FDE6F0-9EFE-4B01-92BF-2F90D402E8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N34</xm:sqref>
        </x14:conditionalFormatting>
        <x14:conditionalFormatting xmlns:xm="http://schemas.microsoft.com/office/excel/2006/main">
          <x14:cfRule type="iconSet" priority="44" id="{1320E40B-9B31-46CE-9A17-865B98E3C3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N36</xm:sqref>
        </x14:conditionalFormatting>
        <x14:conditionalFormatting xmlns:xm="http://schemas.microsoft.com/office/excel/2006/main">
          <x14:cfRule type="iconSet" priority="42" id="{86F74654-200E-45E5-8003-86F4E8A210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9217-C963-419A-8C6A-F28B9C97AE9E}">
  <sheetPr codeName="Hoja2"/>
  <dimension ref="A1:AQ1048576"/>
  <sheetViews>
    <sheetView topLeftCell="A35" zoomScale="92" zoomScaleNormal="92" workbookViewId="0">
      <selection activeCell="AB13" sqref="AB13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0" style="13" bestFit="1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109375" customWidth="1"/>
    <col min="27" max="27" width="3.77734375" customWidth="1"/>
    <col min="28" max="28" width="11.77734375" customWidth="1"/>
    <col min="29" max="29" width="7.33203125" bestFit="1" customWidth="1"/>
    <col min="30" max="30" width="7" bestFit="1" customWidth="1"/>
    <col min="31" max="31" width="10.5546875" bestFit="1" customWidth="1"/>
    <col min="32" max="32" width="14.77734375" bestFit="1" customWidth="1"/>
    <col min="33" max="33" width="13.77734375" bestFit="1" customWidth="1"/>
  </cols>
  <sheetData>
    <row r="1" spans="1:43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70"/>
      <c r="AE1" s="70"/>
      <c r="AF1" s="70"/>
      <c r="AG1" s="74"/>
    </row>
    <row r="2" spans="1:43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70"/>
      <c r="AE2" s="70"/>
      <c r="AF2" s="70"/>
      <c r="AG2" s="74"/>
    </row>
    <row r="3" spans="1:43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70"/>
      <c r="AE3" s="70"/>
      <c r="AF3" s="70"/>
      <c r="AG3" s="74"/>
    </row>
    <row r="4" spans="1:43" ht="14.55" customHeight="1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70"/>
      <c r="AE4" s="70"/>
      <c r="AF4" s="70"/>
      <c r="AG4" s="74"/>
    </row>
    <row r="5" spans="1:43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70"/>
      <c r="AE5" s="70"/>
      <c r="AF5" s="70"/>
      <c r="AG5" s="74"/>
    </row>
    <row r="6" spans="1:43" ht="14.55" customHeight="1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70"/>
      <c r="AE6" s="70"/>
      <c r="AF6" s="70"/>
      <c r="AG6" s="74"/>
    </row>
    <row r="7" spans="1:43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70"/>
      <c r="AE7" s="70"/>
      <c r="AF7" s="70"/>
      <c r="AG7" s="74"/>
    </row>
    <row r="8" spans="1:43" x14ac:dyDescent="0.3">
      <c r="A8" s="63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4"/>
    </row>
    <row r="9" spans="1:43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9"/>
      <c r="Z9" s="56"/>
      <c r="AA9" s="56"/>
      <c r="AB9" s="56"/>
      <c r="AC9" s="56"/>
      <c r="AD9" s="56"/>
      <c r="AE9" s="56"/>
      <c r="AF9" s="56"/>
      <c r="AG9" s="75"/>
    </row>
    <row r="10" spans="1:43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7"/>
      <c r="Z10" s="67"/>
      <c r="AA10" s="67" t="s">
        <v>22</v>
      </c>
      <c r="AB10" s="67"/>
      <c r="AC10" s="59"/>
      <c r="AD10" s="56"/>
      <c r="AE10" s="56"/>
      <c r="AF10" s="56"/>
      <c r="AG10" s="75"/>
    </row>
    <row r="11" spans="1:43" s="3" customFormat="1" x14ac:dyDescent="0.3">
      <c r="A11" s="1" t="s">
        <v>8</v>
      </c>
      <c r="B11" s="2" t="s">
        <v>7</v>
      </c>
      <c r="C11" s="11" t="s">
        <v>0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60"/>
      <c r="J11" s="1">
        <v>9</v>
      </c>
      <c r="K11" s="1">
        <v>10</v>
      </c>
      <c r="L11" s="1">
        <v>11</v>
      </c>
      <c r="M11" s="1">
        <v>12</v>
      </c>
      <c r="N11" s="1">
        <v>13</v>
      </c>
      <c r="O11" s="60"/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60"/>
      <c r="V11" s="1">
        <v>23</v>
      </c>
      <c r="W11" s="1">
        <v>24</v>
      </c>
      <c r="X11" s="1">
        <v>25</v>
      </c>
      <c r="Y11" s="1">
        <v>26</v>
      </c>
      <c r="Z11" s="1">
        <v>27</v>
      </c>
      <c r="AA11" s="60"/>
      <c r="AB11" s="1" t="s">
        <v>1</v>
      </c>
      <c r="AC11" s="1" t="s">
        <v>2</v>
      </c>
      <c r="AD11" s="1" t="s">
        <v>3</v>
      </c>
      <c r="AE11" s="1" t="s">
        <v>52</v>
      </c>
      <c r="AF11" s="1" t="s">
        <v>4</v>
      </c>
      <c r="AG11" s="1" t="s">
        <v>5</v>
      </c>
      <c r="AJ11" s="71" t="s">
        <v>9</v>
      </c>
      <c r="AK11" s="72"/>
      <c r="AL11" s="72"/>
      <c r="AM11" s="72"/>
      <c r="AN11" s="72"/>
      <c r="AO11" s="72"/>
      <c r="AP11" s="72"/>
      <c r="AQ11" s="73"/>
    </row>
    <row r="12" spans="1:43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63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63"/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63"/>
      <c r="V12" s="1"/>
      <c r="W12" s="1"/>
      <c r="X12" s="1"/>
      <c r="Y12" s="1"/>
      <c r="Z12" s="1"/>
      <c r="AA12" s="63"/>
      <c r="AB12" s="4" cm="1">
        <f t="array" ref="AB12">COUNTIF(D12:Z12,1)+COUNTIF(D12:Z12,U)+COUNTIF(D12:Z12,_xleta.T)+COUNTIF(D12:Z12,J)</f>
        <v>15</v>
      </c>
      <c r="AC12" s="4">
        <f>COUNTIF(D12:Z12,0)</f>
        <v>0</v>
      </c>
      <c r="AD12" s="4">
        <f>COUNTIF(D12:Z12,"T")</f>
        <v>0</v>
      </c>
      <c r="AE12" s="4">
        <f>COUNTIF(D12:Z12,"U")</f>
        <v>0</v>
      </c>
      <c r="AF12" s="4">
        <f>COUNTIF(D12:Z12,"J")</f>
        <v>0</v>
      </c>
      <c r="AG12" s="10">
        <f>SUM(AB12)/20</f>
        <v>0.75</v>
      </c>
      <c r="AJ12" s="17"/>
      <c r="AK12" s="8"/>
      <c r="AL12" s="8"/>
      <c r="AM12" s="8"/>
      <c r="AN12" s="8"/>
      <c r="AO12" s="8"/>
      <c r="AP12" s="8"/>
      <c r="AQ12" s="50"/>
    </row>
    <row r="13" spans="1:43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63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63"/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63"/>
      <c r="V13" s="1"/>
      <c r="W13" s="1"/>
      <c r="X13" s="1"/>
      <c r="Y13" s="1"/>
      <c r="Z13" s="1"/>
      <c r="AA13" s="63"/>
      <c r="AB13" s="4" cm="1">
        <f t="array" ref="AB13">COUNTIF(D13:Z13,1)+COUNTIF(D13:Z13,U)+COUNTIF(D13:Z13,_xleta.T)+COUNTIF(D13:Z13,J)</f>
        <v>15</v>
      </c>
      <c r="AC13" s="4">
        <f>COUNTIF(D13:Z13,0)</f>
        <v>0</v>
      </c>
      <c r="AD13" s="4">
        <f>COUNTIF(D13:Z13,"T")</f>
        <v>0</v>
      </c>
      <c r="AE13" s="4">
        <f>COUNTIF(D13:Z13,"U")</f>
        <v>0</v>
      </c>
      <c r="AF13" s="4">
        <f t="shared" ref="AF13:AF37" si="0">COUNTIF(D13:Z13,"J")</f>
        <v>0</v>
      </c>
      <c r="AG13" s="10">
        <f>SUM(AB13)/20</f>
        <v>0.75</v>
      </c>
      <c r="AJ13" s="17"/>
      <c r="AK13" s="14">
        <v>1</v>
      </c>
      <c r="AL13" s="3" t="s">
        <v>10</v>
      </c>
      <c r="AM13" s="8"/>
      <c r="AN13" s="8"/>
      <c r="AQ13" s="18"/>
    </row>
    <row r="14" spans="1:43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63"/>
      <c r="J14" s="1">
        <v>1</v>
      </c>
      <c r="K14" s="1" t="s">
        <v>50</v>
      </c>
      <c r="L14" s="1">
        <v>1</v>
      </c>
      <c r="M14" s="1">
        <v>1</v>
      </c>
      <c r="N14" s="1">
        <v>1</v>
      </c>
      <c r="O14" s="63"/>
      <c r="P14" s="1">
        <v>1</v>
      </c>
      <c r="Q14" s="1">
        <v>1</v>
      </c>
      <c r="R14" s="1" t="s">
        <v>50</v>
      </c>
      <c r="S14" s="1">
        <v>1</v>
      </c>
      <c r="T14" s="1">
        <v>1</v>
      </c>
      <c r="U14" s="63"/>
      <c r="V14" s="1"/>
      <c r="W14" s="1"/>
      <c r="X14" s="1"/>
      <c r="Y14" s="1"/>
      <c r="Z14" s="1"/>
      <c r="AA14" s="63"/>
      <c r="AB14" s="4" cm="1">
        <f t="array" ref="AB14">COUNTIF(D14:Z14,1)+COUNTIF(D14:Z14,U)+COUNTIF(D14:Z14,_xleta.T)+COUNTIF(D14:Z14,J)</f>
        <v>13</v>
      </c>
      <c r="AC14" s="4">
        <f t="shared" ref="AC14:AC37" si="1">COUNTIF(D14:Z14,0)</f>
        <v>0</v>
      </c>
      <c r="AD14" s="4">
        <f t="shared" ref="AD14:AD37" si="2">COUNTIF(D14:Z14,"T")</f>
        <v>0</v>
      </c>
      <c r="AE14" s="4">
        <f t="shared" ref="AE14:AE37" si="3">COUNTIF(D14:Z14,"U")</f>
        <v>2</v>
      </c>
      <c r="AF14" s="4">
        <f t="shared" si="0"/>
        <v>0</v>
      </c>
      <c r="AG14" s="10">
        <f t="shared" ref="AG14:AG37" si="4">SUM(AB14)/20</f>
        <v>0.65</v>
      </c>
      <c r="AJ14" s="17"/>
      <c r="AK14" s="15">
        <v>0</v>
      </c>
      <c r="AL14" s="3" t="s">
        <v>14</v>
      </c>
      <c r="AQ14" s="18"/>
    </row>
    <row r="15" spans="1:43" s="3" customFormat="1" x14ac:dyDescent="0.3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63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63"/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63"/>
      <c r="V15" s="1"/>
      <c r="W15" s="1"/>
      <c r="X15" s="1"/>
      <c r="Y15" s="1"/>
      <c r="Z15" s="1"/>
      <c r="AA15" s="63"/>
      <c r="AB15" s="4" cm="1">
        <f t="array" ref="AB15">COUNTIF(D15:Z15,1)+COUNTIF(D15:Z15,U)+COUNTIF(D15:Z15,_xleta.T)+COUNTIF(D15:Z15,J)</f>
        <v>15</v>
      </c>
      <c r="AC15" s="4">
        <f t="shared" si="1"/>
        <v>0</v>
      </c>
      <c r="AD15" s="4">
        <f t="shared" si="2"/>
        <v>0</v>
      </c>
      <c r="AE15" s="4">
        <f t="shared" si="3"/>
        <v>0</v>
      </c>
      <c r="AF15" s="4">
        <f t="shared" si="0"/>
        <v>0</v>
      </c>
      <c r="AG15" s="10">
        <f t="shared" si="4"/>
        <v>0.75</v>
      </c>
      <c r="AJ15" s="17"/>
      <c r="AK15" s="16" t="s">
        <v>11</v>
      </c>
      <c r="AL15" s="3" t="s">
        <v>12</v>
      </c>
      <c r="AQ15" s="18"/>
    </row>
    <row r="16" spans="1:43" ht="15" thickBot="1" x14ac:dyDescent="0.35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1" t="s">
        <v>50</v>
      </c>
      <c r="G16" s="1">
        <v>1</v>
      </c>
      <c r="H16" s="1">
        <v>1</v>
      </c>
      <c r="I16" s="63"/>
      <c r="J16" s="4">
        <v>1</v>
      </c>
      <c r="K16" s="4">
        <v>1</v>
      </c>
      <c r="L16" s="4">
        <v>1</v>
      </c>
      <c r="M16" s="1">
        <v>1</v>
      </c>
      <c r="N16" s="1">
        <v>1</v>
      </c>
      <c r="O16" s="63"/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63"/>
      <c r="V16" s="1"/>
      <c r="W16" s="1"/>
      <c r="X16" s="1"/>
      <c r="Y16" s="1"/>
      <c r="Z16" s="1"/>
      <c r="AA16" s="63"/>
      <c r="AB16" s="4" cm="1">
        <f t="array" ref="AB16">COUNTIF(D16:Z16,1)+COUNTIF(D16:Z16,U)+COUNTIF(D16:Z16,_xleta.T)+COUNTIF(D16:Z16,J)</f>
        <v>14</v>
      </c>
      <c r="AC16" s="4">
        <f t="shared" si="1"/>
        <v>0</v>
      </c>
      <c r="AD16" s="4">
        <f t="shared" si="2"/>
        <v>0</v>
      </c>
      <c r="AE16" s="4">
        <f t="shared" si="3"/>
        <v>1</v>
      </c>
      <c r="AF16" s="4">
        <f t="shared" si="0"/>
        <v>0</v>
      </c>
      <c r="AG16" s="10">
        <f t="shared" si="4"/>
        <v>0.7</v>
      </c>
      <c r="AJ16" s="19"/>
      <c r="AK16" s="20" t="s">
        <v>6</v>
      </c>
      <c r="AL16" s="21" t="s">
        <v>13</v>
      </c>
      <c r="AM16" s="22"/>
      <c r="AN16" s="22"/>
      <c r="AO16" s="22"/>
      <c r="AP16" s="22"/>
      <c r="AQ16" s="23"/>
    </row>
    <row r="17" spans="1:41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63"/>
      <c r="J17" s="4">
        <v>1</v>
      </c>
      <c r="K17" s="4">
        <v>1</v>
      </c>
      <c r="L17" s="4">
        <v>1</v>
      </c>
      <c r="M17" s="1">
        <v>1</v>
      </c>
      <c r="N17" s="1">
        <v>1</v>
      </c>
      <c r="O17" s="63"/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63"/>
      <c r="V17" s="1"/>
      <c r="W17" s="1"/>
      <c r="X17" s="1"/>
      <c r="Y17" s="1"/>
      <c r="Z17" s="1"/>
      <c r="AA17" s="63"/>
      <c r="AB17" s="4" cm="1">
        <f t="array" ref="AB17">COUNTIF(D17:Z17,1)+COUNTIF(D17:Z17,U)+COUNTIF(D17:Z17,_xleta.T)+COUNTIF(D17:Z17,J)</f>
        <v>15</v>
      </c>
      <c r="AC17" s="4">
        <f t="shared" si="1"/>
        <v>0</v>
      </c>
      <c r="AD17" s="4">
        <f t="shared" si="2"/>
        <v>0</v>
      </c>
      <c r="AE17" s="4">
        <f t="shared" si="3"/>
        <v>0</v>
      </c>
      <c r="AF17" s="4">
        <f t="shared" si="0"/>
        <v>0</v>
      </c>
      <c r="AG17" s="10">
        <f t="shared" si="4"/>
        <v>0.75</v>
      </c>
      <c r="AK17" t="s">
        <v>50</v>
      </c>
      <c r="AL17" s="3" t="s">
        <v>51</v>
      </c>
    </row>
    <row r="18" spans="1:41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63"/>
      <c r="J18" s="4">
        <v>1</v>
      </c>
      <c r="K18" s="4">
        <v>1</v>
      </c>
      <c r="L18" s="4">
        <v>1</v>
      </c>
      <c r="M18" s="1">
        <v>1</v>
      </c>
      <c r="N18" s="1">
        <v>1</v>
      </c>
      <c r="O18" s="63"/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63"/>
      <c r="V18" s="1"/>
      <c r="W18" s="1"/>
      <c r="X18" s="1"/>
      <c r="Y18" s="1"/>
      <c r="Z18" s="1"/>
      <c r="AA18" s="63"/>
      <c r="AB18" s="4" cm="1">
        <f t="array" ref="AB18">COUNTIF(D18:Z18,1)+COUNTIF(D18:Z18,U)+COUNTIF(D18:Z18,_xleta.T)+COUNTIF(D18:Z18,J)</f>
        <v>15</v>
      </c>
      <c r="AC18" s="4">
        <f t="shared" si="1"/>
        <v>0</v>
      </c>
      <c r="AD18" s="4">
        <f t="shared" si="2"/>
        <v>0</v>
      </c>
      <c r="AE18" s="4">
        <f t="shared" si="3"/>
        <v>0</v>
      </c>
      <c r="AF18" s="4">
        <f t="shared" si="0"/>
        <v>0</v>
      </c>
      <c r="AG18" s="10">
        <f t="shared" si="4"/>
        <v>0.75</v>
      </c>
    </row>
    <row r="19" spans="1:41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 t="s">
        <v>6</v>
      </c>
      <c r="E19" s="1">
        <v>1</v>
      </c>
      <c r="F19" s="1">
        <v>1</v>
      </c>
      <c r="G19" s="1">
        <v>1</v>
      </c>
      <c r="H19" s="1">
        <v>1</v>
      </c>
      <c r="I19" s="63"/>
      <c r="J19" s="4">
        <v>1</v>
      </c>
      <c r="K19" s="4">
        <v>1</v>
      </c>
      <c r="L19" s="4">
        <v>1</v>
      </c>
      <c r="M19" s="1">
        <v>1</v>
      </c>
      <c r="N19" s="1">
        <v>1</v>
      </c>
      <c r="O19" s="63"/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63"/>
      <c r="V19" s="1"/>
      <c r="W19" s="1"/>
      <c r="X19" s="1"/>
      <c r="Y19" s="1"/>
      <c r="Z19" s="1"/>
      <c r="AA19" s="63"/>
      <c r="AB19" s="4" cm="1">
        <f t="array" ref="AB19">COUNTIF(D19:Z19,1)+COUNTIF(D19:Z19,U)+COUNTIF(D19:Z19,_xleta.T)+COUNTIF(D19:Z19,J)</f>
        <v>14</v>
      </c>
      <c r="AC19" s="4">
        <f t="shared" si="1"/>
        <v>0</v>
      </c>
      <c r="AD19" s="4">
        <f t="shared" si="2"/>
        <v>0</v>
      </c>
      <c r="AE19" s="4">
        <f t="shared" si="3"/>
        <v>0</v>
      </c>
      <c r="AF19" s="4">
        <f t="shared" si="0"/>
        <v>1</v>
      </c>
      <c r="AG19" s="10">
        <f t="shared" si="4"/>
        <v>0.7</v>
      </c>
      <c r="AL19" s="8"/>
      <c r="AN19" s="3"/>
      <c r="AO19" s="3"/>
    </row>
    <row r="20" spans="1:41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1" t="s">
        <v>50</v>
      </c>
      <c r="G20" s="1">
        <v>1</v>
      </c>
      <c r="H20" s="1">
        <v>1</v>
      </c>
      <c r="I20" s="63"/>
      <c r="J20" s="4">
        <v>1</v>
      </c>
      <c r="K20" s="4" t="s">
        <v>50</v>
      </c>
      <c r="L20" s="4">
        <v>1</v>
      </c>
      <c r="M20" s="1">
        <v>1</v>
      </c>
      <c r="N20" s="1">
        <v>1</v>
      </c>
      <c r="O20" s="63"/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63"/>
      <c r="V20" s="1"/>
      <c r="W20" s="1"/>
      <c r="X20" s="1"/>
      <c r="Y20" s="1"/>
      <c r="Z20" s="1"/>
      <c r="AA20" s="63"/>
      <c r="AB20" s="4" cm="1">
        <f t="array" ref="AB20">COUNTIF(D20:Z20,1)+COUNTIF(D20:Z20,U)+COUNTIF(D20:Z20,_xleta.T)+COUNTIF(D20:Z20,J)</f>
        <v>13</v>
      </c>
      <c r="AC20" s="4">
        <f t="shared" si="1"/>
        <v>0</v>
      </c>
      <c r="AD20" s="4">
        <f t="shared" si="2"/>
        <v>0</v>
      </c>
      <c r="AE20" s="4">
        <f t="shared" si="3"/>
        <v>2</v>
      </c>
      <c r="AF20" s="4">
        <f t="shared" si="0"/>
        <v>0</v>
      </c>
      <c r="AG20" s="10">
        <f t="shared" si="4"/>
        <v>0.65</v>
      </c>
      <c r="AL20" s="8"/>
    </row>
    <row r="21" spans="1:41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63"/>
      <c r="J21" s="4">
        <v>1</v>
      </c>
      <c r="K21" s="4">
        <v>1</v>
      </c>
      <c r="L21" s="4">
        <v>1</v>
      </c>
      <c r="M21" s="1">
        <v>1</v>
      </c>
      <c r="N21" s="1">
        <v>1</v>
      </c>
      <c r="O21" s="63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63"/>
      <c r="V21" s="1"/>
      <c r="W21" s="1"/>
      <c r="X21" s="1"/>
      <c r="Y21" s="1"/>
      <c r="Z21" s="1"/>
      <c r="AA21" s="63"/>
      <c r="AB21" s="4" cm="1">
        <f t="array" ref="AB21">COUNTIF(D21:Z21,1)+COUNTIF(D21:Z21,U)+COUNTIF(D21:Z21,_xleta.T)+COUNTIF(D21:Z21,J)</f>
        <v>15</v>
      </c>
      <c r="AC21" s="4">
        <f t="shared" si="1"/>
        <v>0</v>
      </c>
      <c r="AD21" s="4">
        <f t="shared" si="2"/>
        <v>0</v>
      </c>
      <c r="AE21" s="4">
        <f t="shared" si="3"/>
        <v>0</v>
      </c>
      <c r="AF21" s="4">
        <f t="shared" si="0"/>
        <v>0</v>
      </c>
      <c r="AG21" s="10">
        <f t="shared" si="4"/>
        <v>0.75</v>
      </c>
      <c r="AL21" s="8"/>
      <c r="AM21" s="3"/>
      <c r="AN21" s="3"/>
      <c r="AO21" s="3"/>
    </row>
    <row r="22" spans="1:41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1" t="s">
        <v>50</v>
      </c>
      <c r="G22" s="1">
        <v>1</v>
      </c>
      <c r="H22" s="1">
        <v>1</v>
      </c>
      <c r="I22" s="63"/>
      <c r="J22" s="4">
        <v>0</v>
      </c>
      <c r="K22" s="4" t="s">
        <v>50</v>
      </c>
      <c r="L22" s="4">
        <v>1</v>
      </c>
      <c r="M22" s="1">
        <v>1</v>
      </c>
      <c r="N22" s="1">
        <v>1</v>
      </c>
      <c r="O22" s="63"/>
      <c r="P22" s="1">
        <v>1</v>
      </c>
      <c r="Q22" s="1">
        <v>1</v>
      </c>
      <c r="R22" s="1">
        <v>1</v>
      </c>
      <c r="S22" s="1" t="s">
        <v>50</v>
      </c>
      <c r="T22" s="1">
        <v>1</v>
      </c>
      <c r="U22" s="63"/>
      <c r="V22" s="1"/>
      <c r="W22" s="1"/>
      <c r="X22" s="1"/>
      <c r="Y22" s="1"/>
      <c r="Z22" s="1"/>
      <c r="AA22" s="63"/>
      <c r="AB22" s="4" cm="1">
        <f t="array" ref="AB22">COUNTIF(D22:Z22,1)+COUNTIF(D22:Z22,U)+COUNTIF(D22:Z22,_xleta.T)+COUNTIF(D22:Z22,J)</f>
        <v>11</v>
      </c>
      <c r="AC22" s="4">
        <f t="shared" si="1"/>
        <v>1</v>
      </c>
      <c r="AD22" s="4">
        <f t="shared" si="2"/>
        <v>0</v>
      </c>
      <c r="AE22" s="4">
        <f t="shared" si="3"/>
        <v>3</v>
      </c>
      <c r="AF22" s="4">
        <f t="shared" si="0"/>
        <v>0</v>
      </c>
      <c r="AG22" s="10">
        <f t="shared" si="4"/>
        <v>0.55000000000000004</v>
      </c>
      <c r="AL22" s="7"/>
    </row>
    <row r="23" spans="1:41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63"/>
      <c r="J23" s="4">
        <v>1</v>
      </c>
      <c r="K23" s="4">
        <v>1</v>
      </c>
      <c r="L23" s="4">
        <v>1</v>
      </c>
      <c r="M23" s="1">
        <v>1</v>
      </c>
      <c r="N23" s="1">
        <v>1</v>
      </c>
      <c r="O23" s="63"/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63"/>
      <c r="V23" s="1"/>
      <c r="W23" s="1"/>
      <c r="X23" s="1"/>
      <c r="Y23" s="1"/>
      <c r="Z23" s="1"/>
      <c r="AA23" s="63"/>
      <c r="AB23" s="4" cm="1">
        <f t="array" ref="AB23">COUNTIF(D23:Z23,1)+COUNTIF(D23:Z23,U)+COUNTIF(D23:Z23,_xleta.T)+COUNTIF(D23:Z23,J)</f>
        <v>15</v>
      </c>
      <c r="AC23" s="4">
        <f t="shared" si="1"/>
        <v>0</v>
      </c>
      <c r="AD23" s="4">
        <f t="shared" si="2"/>
        <v>0</v>
      </c>
      <c r="AE23" s="4">
        <f t="shared" si="3"/>
        <v>0</v>
      </c>
      <c r="AF23" s="4">
        <f t="shared" si="0"/>
        <v>0</v>
      </c>
      <c r="AG23" s="10">
        <f t="shared" si="4"/>
        <v>0.75</v>
      </c>
    </row>
    <row r="24" spans="1:41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 t="s">
        <v>11</v>
      </c>
      <c r="E24" s="1">
        <v>1</v>
      </c>
      <c r="F24" s="1">
        <v>1</v>
      </c>
      <c r="G24" s="1">
        <v>1</v>
      </c>
      <c r="H24" s="1">
        <v>1</v>
      </c>
      <c r="I24" s="63"/>
      <c r="J24" s="4">
        <v>1</v>
      </c>
      <c r="K24" s="4">
        <v>1</v>
      </c>
      <c r="L24" s="4">
        <v>0</v>
      </c>
      <c r="M24" s="1">
        <v>1</v>
      </c>
      <c r="N24" s="1">
        <v>1</v>
      </c>
      <c r="O24" s="63"/>
      <c r="P24" s="1">
        <v>1</v>
      </c>
      <c r="Q24" s="1">
        <v>1</v>
      </c>
      <c r="R24" s="1" t="s">
        <v>50</v>
      </c>
      <c r="S24" s="1">
        <v>1</v>
      </c>
      <c r="T24" s="1">
        <v>1</v>
      </c>
      <c r="U24" s="63"/>
      <c r="V24" s="1"/>
      <c r="W24" s="1"/>
      <c r="X24" s="1"/>
      <c r="Y24" s="1"/>
      <c r="Z24" s="1"/>
      <c r="AA24" s="63"/>
      <c r="AB24" s="4" cm="1">
        <f t="array" ref="AB24">COUNTIF(D24:Z24,1)+COUNTIF(D24:Z24,U)+COUNTIF(D24:Z24,_xleta.T)+COUNTIF(D24:Z24,J)</f>
        <v>12</v>
      </c>
      <c r="AC24" s="4">
        <f t="shared" si="1"/>
        <v>1</v>
      </c>
      <c r="AD24" s="4">
        <f t="shared" si="2"/>
        <v>0</v>
      </c>
      <c r="AE24" s="4">
        <f t="shared" si="3"/>
        <v>1</v>
      </c>
      <c r="AF24" s="4">
        <f t="shared" si="0"/>
        <v>0</v>
      </c>
      <c r="AG24" s="10">
        <f t="shared" si="4"/>
        <v>0.6</v>
      </c>
    </row>
    <row r="25" spans="1:41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63"/>
      <c r="J25" s="4">
        <v>1</v>
      </c>
      <c r="K25" s="4">
        <v>1</v>
      </c>
      <c r="L25" s="4">
        <v>1</v>
      </c>
      <c r="M25" s="1">
        <v>1</v>
      </c>
      <c r="N25" s="1">
        <v>1</v>
      </c>
      <c r="O25" s="63"/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63"/>
      <c r="V25" s="4"/>
      <c r="W25" s="4"/>
      <c r="X25" s="4"/>
      <c r="Y25" s="4"/>
      <c r="Z25" s="4"/>
      <c r="AA25" s="63"/>
      <c r="AB25" s="4" cm="1">
        <f t="array" ref="AB25">COUNTIF(D25:Z25,1)+COUNTIF(D25:Z25,U)+COUNTIF(D25:Z25,_xleta.T)+COUNTIF(D25:Z25,J)</f>
        <v>15</v>
      </c>
      <c r="AC25" s="4">
        <f t="shared" si="1"/>
        <v>0</v>
      </c>
      <c r="AD25" s="4">
        <f t="shared" si="2"/>
        <v>0</v>
      </c>
      <c r="AE25" s="4">
        <f t="shared" si="3"/>
        <v>0</v>
      </c>
      <c r="AF25" s="4">
        <f t="shared" si="0"/>
        <v>0</v>
      </c>
      <c r="AG25" s="10">
        <f t="shared" si="4"/>
        <v>0.75</v>
      </c>
    </row>
    <row r="26" spans="1:41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63"/>
      <c r="J26" s="4">
        <v>1</v>
      </c>
      <c r="K26" s="4">
        <v>1</v>
      </c>
      <c r="L26" s="4">
        <v>1</v>
      </c>
      <c r="M26" s="1">
        <v>1</v>
      </c>
      <c r="N26" s="1">
        <v>1</v>
      </c>
      <c r="O26" s="63"/>
      <c r="P26" s="4">
        <v>1</v>
      </c>
      <c r="Q26" s="1">
        <v>1</v>
      </c>
      <c r="R26" s="1">
        <v>1</v>
      </c>
      <c r="S26" s="4">
        <v>1</v>
      </c>
      <c r="T26" s="1">
        <v>1</v>
      </c>
      <c r="U26" s="63"/>
      <c r="V26" s="4"/>
      <c r="W26" s="4"/>
      <c r="X26" s="4"/>
      <c r="Y26" s="4"/>
      <c r="Z26" s="4"/>
      <c r="AA26" s="63"/>
      <c r="AB26" s="4" cm="1">
        <f t="array" ref="AB26">COUNTIF(D26:Z26,1)+COUNTIF(D26:Z26,U)+COUNTIF(D26:Z26,_xleta.T)+COUNTIF(D26:Z26,J)</f>
        <v>15</v>
      </c>
      <c r="AC26" s="4">
        <f t="shared" si="1"/>
        <v>0</v>
      </c>
      <c r="AD26" s="4">
        <f t="shared" si="2"/>
        <v>0</v>
      </c>
      <c r="AE26" s="4">
        <f t="shared" si="3"/>
        <v>0</v>
      </c>
      <c r="AF26" s="4">
        <f t="shared" si="0"/>
        <v>0</v>
      </c>
      <c r="AG26" s="10">
        <f t="shared" si="4"/>
        <v>0.75</v>
      </c>
    </row>
    <row r="27" spans="1:41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1</v>
      </c>
      <c r="E27" s="1">
        <v>1</v>
      </c>
      <c r="F27" s="1" t="s">
        <v>50</v>
      </c>
      <c r="G27" s="1">
        <v>1</v>
      </c>
      <c r="H27" s="1">
        <v>1</v>
      </c>
      <c r="I27" s="63"/>
      <c r="J27" s="4">
        <v>1</v>
      </c>
      <c r="K27" s="4">
        <v>1</v>
      </c>
      <c r="L27" s="4">
        <v>1</v>
      </c>
      <c r="M27" s="1">
        <v>1</v>
      </c>
      <c r="N27" s="1">
        <v>1</v>
      </c>
      <c r="O27" s="63"/>
      <c r="P27" s="4">
        <v>1</v>
      </c>
      <c r="Q27" s="1">
        <v>1</v>
      </c>
      <c r="R27" s="1">
        <v>1</v>
      </c>
      <c r="S27" s="4">
        <v>1</v>
      </c>
      <c r="T27" s="1">
        <v>1</v>
      </c>
      <c r="U27" s="63"/>
      <c r="V27" s="4"/>
      <c r="W27" s="4"/>
      <c r="X27" s="4"/>
      <c r="Y27" s="4"/>
      <c r="Z27" s="4"/>
      <c r="AA27" s="63"/>
      <c r="AB27" s="4" cm="1">
        <f t="array" ref="AB27">COUNTIF(D27:Z27,1)+COUNTIF(D27:Z27,U)+COUNTIF(D27:Z27,_xleta.T)+COUNTIF(D27:Z27,J)</f>
        <v>14</v>
      </c>
      <c r="AC27" s="4">
        <f t="shared" si="1"/>
        <v>0</v>
      </c>
      <c r="AD27" s="4">
        <f t="shared" si="2"/>
        <v>0</v>
      </c>
      <c r="AE27" s="4">
        <f t="shared" si="3"/>
        <v>1</v>
      </c>
      <c r="AF27" s="4">
        <f t="shared" si="0"/>
        <v>0</v>
      </c>
      <c r="AG27" s="10">
        <f t="shared" si="4"/>
        <v>0.7</v>
      </c>
    </row>
    <row r="28" spans="1:41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63"/>
      <c r="J28" s="4">
        <v>1</v>
      </c>
      <c r="K28" s="4">
        <v>1</v>
      </c>
      <c r="L28" s="4">
        <v>1</v>
      </c>
      <c r="M28" s="1">
        <v>1</v>
      </c>
      <c r="N28" s="1">
        <v>1</v>
      </c>
      <c r="O28" s="63"/>
      <c r="P28" s="4">
        <v>1</v>
      </c>
      <c r="Q28" s="1">
        <v>1</v>
      </c>
      <c r="R28" s="1">
        <v>1</v>
      </c>
      <c r="S28" s="4">
        <v>1</v>
      </c>
      <c r="T28" s="1">
        <v>1</v>
      </c>
      <c r="U28" s="63"/>
      <c r="V28" s="4"/>
      <c r="W28" s="4"/>
      <c r="X28" s="4"/>
      <c r="Y28" s="4"/>
      <c r="Z28" s="4"/>
      <c r="AA28" s="63"/>
      <c r="AB28" s="4" cm="1">
        <f t="array" ref="AB28">COUNTIF(D28:Z28,1)+COUNTIF(D28:Z28,U)+COUNTIF(D28:Z28,_xleta.T)+COUNTIF(D28:Z28,J)</f>
        <v>15</v>
      </c>
      <c r="AC28" s="4">
        <f t="shared" si="1"/>
        <v>0</v>
      </c>
      <c r="AD28" s="4">
        <f t="shared" si="2"/>
        <v>0</v>
      </c>
      <c r="AE28" s="4">
        <f t="shared" si="3"/>
        <v>0</v>
      </c>
      <c r="AF28" s="4">
        <f t="shared" si="0"/>
        <v>0</v>
      </c>
      <c r="AG28" s="10">
        <f t="shared" si="4"/>
        <v>0.75</v>
      </c>
    </row>
    <row r="29" spans="1:41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63"/>
      <c r="J29" s="4">
        <v>1</v>
      </c>
      <c r="K29" s="4">
        <v>1</v>
      </c>
      <c r="L29" s="4" t="s">
        <v>50</v>
      </c>
      <c r="M29" s="1">
        <v>1</v>
      </c>
      <c r="N29" s="1">
        <v>1</v>
      </c>
      <c r="O29" s="63"/>
      <c r="P29" s="4">
        <v>1</v>
      </c>
      <c r="Q29" s="1">
        <v>1</v>
      </c>
      <c r="R29" s="1">
        <v>1</v>
      </c>
      <c r="S29" s="4">
        <v>1</v>
      </c>
      <c r="T29" s="1">
        <v>1</v>
      </c>
      <c r="U29" s="63"/>
      <c r="V29" s="4"/>
      <c r="W29" s="4"/>
      <c r="X29" s="4"/>
      <c r="Y29" s="4"/>
      <c r="Z29" s="4"/>
      <c r="AA29" s="63"/>
      <c r="AB29" s="4" cm="1">
        <f t="array" ref="AB29">COUNTIF(D29:Z29,1)+COUNTIF(D29:Z29,U)+COUNTIF(D29:Z29,_xleta.T)+COUNTIF(D29:Z29,J)</f>
        <v>14</v>
      </c>
      <c r="AC29" s="4">
        <f t="shared" si="1"/>
        <v>0</v>
      </c>
      <c r="AD29" s="4">
        <f t="shared" si="2"/>
        <v>0</v>
      </c>
      <c r="AE29" s="4">
        <f t="shared" si="3"/>
        <v>1</v>
      </c>
      <c r="AF29" s="4">
        <f t="shared" si="0"/>
        <v>0</v>
      </c>
      <c r="AG29" s="10">
        <f t="shared" si="4"/>
        <v>0.7</v>
      </c>
    </row>
    <row r="30" spans="1:41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63"/>
      <c r="J30" s="4">
        <v>1</v>
      </c>
      <c r="K30" s="4">
        <v>1</v>
      </c>
      <c r="L30" s="4">
        <v>1</v>
      </c>
      <c r="M30" s="1">
        <v>1</v>
      </c>
      <c r="N30" s="1">
        <v>1</v>
      </c>
      <c r="O30" s="63"/>
      <c r="P30" s="4">
        <v>1</v>
      </c>
      <c r="Q30" s="1" t="s">
        <v>50</v>
      </c>
      <c r="R30" s="1">
        <v>1</v>
      </c>
      <c r="S30" s="4">
        <v>1</v>
      </c>
      <c r="T30" s="1">
        <v>1</v>
      </c>
      <c r="U30" s="63"/>
      <c r="V30" s="4"/>
      <c r="W30" s="4"/>
      <c r="X30" s="4"/>
      <c r="Y30" s="4"/>
      <c r="Z30" s="4"/>
      <c r="AA30" s="63"/>
      <c r="AB30" s="4" cm="1">
        <f t="array" ref="AB30">COUNTIF(D30:Z30,1)+COUNTIF(D30:Z30,U)+COUNTIF(D30:Z30,_xleta.T)+COUNTIF(D30:Z30,J)</f>
        <v>14</v>
      </c>
      <c r="AC30" s="4">
        <f t="shared" si="1"/>
        <v>0</v>
      </c>
      <c r="AD30" s="4">
        <f t="shared" si="2"/>
        <v>0</v>
      </c>
      <c r="AE30" s="4">
        <f t="shared" si="3"/>
        <v>1</v>
      </c>
      <c r="AF30" s="4">
        <f t="shared" si="0"/>
        <v>0</v>
      </c>
      <c r="AG30" s="10">
        <f t="shared" si="4"/>
        <v>0.7</v>
      </c>
    </row>
    <row r="31" spans="1:41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63"/>
      <c r="J31" s="4">
        <v>1</v>
      </c>
      <c r="K31" s="4">
        <v>1</v>
      </c>
      <c r="L31" s="4">
        <v>1</v>
      </c>
      <c r="M31" s="1">
        <v>1</v>
      </c>
      <c r="N31" s="1">
        <v>1</v>
      </c>
      <c r="O31" s="63"/>
      <c r="P31" s="4">
        <v>1</v>
      </c>
      <c r="Q31" s="1">
        <v>1</v>
      </c>
      <c r="R31" s="1">
        <v>1</v>
      </c>
      <c r="S31" s="4">
        <v>1</v>
      </c>
      <c r="T31" s="1">
        <v>1</v>
      </c>
      <c r="U31" s="63"/>
      <c r="V31" s="4"/>
      <c r="W31" s="4"/>
      <c r="X31" s="4"/>
      <c r="Y31" s="4"/>
      <c r="Z31" s="4"/>
      <c r="AA31" s="63"/>
      <c r="AB31" s="4" cm="1">
        <f t="array" ref="AB31">COUNTIF(D31:Z31,1)+COUNTIF(D31:Z31,U)+COUNTIF(D31:Z31,_xleta.T)+COUNTIF(D31:Z31,J)</f>
        <v>15</v>
      </c>
      <c r="AC31" s="4">
        <f t="shared" si="1"/>
        <v>0</v>
      </c>
      <c r="AD31" s="4">
        <f t="shared" si="2"/>
        <v>0</v>
      </c>
      <c r="AE31" s="4">
        <f t="shared" si="3"/>
        <v>0</v>
      </c>
      <c r="AF31" s="4">
        <f t="shared" si="0"/>
        <v>0</v>
      </c>
      <c r="AG31" s="10">
        <f t="shared" si="4"/>
        <v>0.75</v>
      </c>
    </row>
    <row r="32" spans="1:41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63"/>
      <c r="J32" s="4">
        <v>1</v>
      </c>
      <c r="K32" s="4">
        <v>1</v>
      </c>
      <c r="L32" s="4">
        <v>1</v>
      </c>
      <c r="M32" s="1">
        <v>1</v>
      </c>
      <c r="N32" s="1">
        <v>1</v>
      </c>
      <c r="O32" s="63"/>
      <c r="P32" s="4" t="s">
        <v>6</v>
      </c>
      <c r="Q32" s="1">
        <v>1</v>
      </c>
      <c r="R32" s="1">
        <v>1</v>
      </c>
      <c r="S32" s="4">
        <v>1</v>
      </c>
      <c r="T32" s="1">
        <v>1</v>
      </c>
      <c r="U32" s="63"/>
      <c r="V32" s="4"/>
      <c r="W32" s="4"/>
      <c r="X32" s="4"/>
      <c r="Y32" s="4"/>
      <c r="Z32" s="4"/>
      <c r="AA32" s="63"/>
      <c r="AB32" s="4" cm="1">
        <f t="array" ref="AB32">COUNTIF(D32:Z32,1)+COUNTIF(D32:Z32,U)+COUNTIF(D32:Z32,_xleta.T)+COUNTIF(D32:Z32,J)</f>
        <v>13</v>
      </c>
      <c r="AC32" s="4">
        <f t="shared" si="1"/>
        <v>1</v>
      </c>
      <c r="AD32" s="4">
        <f t="shared" si="2"/>
        <v>0</v>
      </c>
      <c r="AE32" s="4">
        <f t="shared" si="3"/>
        <v>0</v>
      </c>
      <c r="AF32" s="4">
        <f t="shared" si="0"/>
        <v>1</v>
      </c>
      <c r="AG32" s="10">
        <f t="shared" si="4"/>
        <v>0.65</v>
      </c>
    </row>
    <row r="33" spans="1:33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63"/>
      <c r="J33" s="4">
        <v>1</v>
      </c>
      <c r="K33" s="4">
        <v>1</v>
      </c>
      <c r="L33" s="4">
        <v>1</v>
      </c>
      <c r="M33" s="1">
        <v>1</v>
      </c>
      <c r="N33" s="1">
        <v>1</v>
      </c>
      <c r="O33" s="63"/>
      <c r="P33" s="4">
        <v>1</v>
      </c>
      <c r="Q33" s="1">
        <v>1</v>
      </c>
      <c r="R33" s="1">
        <v>1</v>
      </c>
      <c r="S33" s="4">
        <v>1</v>
      </c>
      <c r="T33" s="1">
        <v>1</v>
      </c>
      <c r="U33" s="63"/>
      <c r="V33" s="4"/>
      <c r="W33" s="4"/>
      <c r="X33" s="4"/>
      <c r="Y33" s="4"/>
      <c r="Z33" s="4"/>
      <c r="AA33" s="63"/>
      <c r="AB33" s="4" cm="1">
        <f t="array" ref="AB33">COUNTIF(D33:Z33,1)+COUNTIF(D33:Z33,U)+COUNTIF(D33:Z33,_xleta.T)+COUNTIF(D33:Z33,J)</f>
        <v>15</v>
      </c>
      <c r="AC33" s="4">
        <f t="shared" si="1"/>
        <v>0</v>
      </c>
      <c r="AD33" s="4">
        <f t="shared" si="2"/>
        <v>0</v>
      </c>
      <c r="AE33" s="4">
        <f t="shared" si="3"/>
        <v>0</v>
      </c>
      <c r="AF33" s="4">
        <f t="shared" si="0"/>
        <v>0</v>
      </c>
      <c r="AG33" s="10">
        <f t="shared" si="4"/>
        <v>0.75</v>
      </c>
    </row>
    <row r="34" spans="1:33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63"/>
      <c r="J34" s="4">
        <v>1</v>
      </c>
      <c r="K34" s="4">
        <v>1</v>
      </c>
      <c r="L34" s="4">
        <v>1</v>
      </c>
      <c r="M34" s="1">
        <v>1</v>
      </c>
      <c r="N34" s="1">
        <v>1</v>
      </c>
      <c r="O34" s="63"/>
      <c r="P34" s="4">
        <v>1</v>
      </c>
      <c r="Q34" s="1">
        <v>1</v>
      </c>
      <c r="R34" s="1">
        <v>1</v>
      </c>
      <c r="S34" s="4">
        <v>1</v>
      </c>
      <c r="T34" s="1">
        <v>1</v>
      </c>
      <c r="U34" s="63"/>
      <c r="V34" s="4"/>
      <c r="W34" s="4"/>
      <c r="X34" s="4"/>
      <c r="Y34" s="4"/>
      <c r="Z34" s="4"/>
      <c r="AA34" s="63"/>
      <c r="AB34" s="4" cm="1">
        <f t="array" ref="AB34">COUNTIF(D34:Z34,1)+COUNTIF(D34:Z34,U)+COUNTIF(D34:Z34,_xleta.T)+COUNTIF(D34:Z34,J)</f>
        <v>15</v>
      </c>
      <c r="AC34" s="4">
        <f t="shared" si="1"/>
        <v>0</v>
      </c>
      <c r="AD34" s="4">
        <f t="shared" si="2"/>
        <v>0</v>
      </c>
      <c r="AE34" s="4">
        <f t="shared" si="3"/>
        <v>0</v>
      </c>
      <c r="AF34" s="4">
        <f t="shared" si="0"/>
        <v>0</v>
      </c>
      <c r="AG34" s="10">
        <f t="shared" si="4"/>
        <v>0.75</v>
      </c>
    </row>
    <row r="35" spans="1:33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63"/>
      <c r="J35" s="4">
        <v>1</v>
      </c>
      <c r="K35" s="4">
        <v>1</v>
      </c>
      <c r="L35" s="4">
        <v>1</v>
      </c>
      <c r="M35" s="1">
        <v>1</v>
      </c>
      <c r="N35" s="1">
        <v>1</v>
      </c>
      <c r="O35" s="63"/>
      <c r="P35" s="4">
        <v>1</v>
      </c>
      <c r="Q35" s="1">
        <v>1</v>
      </c>
      <c r="R35" s="1">
        <v>1</v>
      </c>
      <c r="S35" s="4">
        <v>1</v>
      </c>
      <c r="T35" s="1">
        <v>1</v>
      </c>
      <c r="U35" s="63"/>
      <c r="V35" s="4"/>
      <c r="W35" s="4"/>
      <c r="X35" s="4"/>
      <c r="Y35" s="4"/>
      <c r="Z35" s="4"/>
      <c r="AA35" s="63"/>
      <c r="AB35" s="4" cm="1">
        <f t="array" ref="AB35">COUNTIF(D35:Z35,1)+COUNTIF(D35:Z35,U)+COUNTIF(D35:Z35,_xleta.T)+COUNTIF(D35:Z35,J)</f>
        <v>15</v>
      </c>
      <c r="AC35" s="4">
        <f t="shared" si="1"/>
        <v>0</v>
      </c>
      <c r="AD35" s="4">
        <f t="shared" si="2"/>
        <v>0</v>
      </c>
      <c r="AE35" s="4">
        <f t="shared" si="3"/>
        <v>0</v>
      </c>
      <c r="AF35" s="4">
        <f t="shared" si="0"/>
        <v>0</v>
      </c>
      <c r="AG35" s="10">
        <f t="shared" si="4"/>
        <v>0.75</v>
      </c>
    </row>
    <row r="36" spans="1:33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3"/>
      <c r="J36" s="4">
        <v>1</v>
      </c>
      <c r="K36" s="4">
        <v>1</v>
      </c>
      <c r="L36" s="4">
        <v>1</v>
      </c>
      <c r="M36" s="1">
        <v>1</v>
      </c>
      <c r="N36" s="1">
        <v>1</v>
      </c>
      <c r="O36" s="63"/>
      <c r="P36" s="4" t="s">
        <v>6</v>
      </c>
      <c r="Q36" s="1">
        <v>1</v>
      </c>
      <c r="R36" s="1">
        <v>1</v>
      </c>
      <c r="S36" s="4">
        <v>1</v>
      </c>
      <c r="T36" s="1">
        <v>1</v>
      </c>
      <c r="U36" s="63"/>
      <c r="V36" s="4"/>
      <c r="W36" s="4"/>
      <c r="X36" s="4"/>
      <c r="Y36" s="4"/>
      <c r="Z36" s="4"/>
      <c r="AA36" s="63"/>
      <c r="AB36" s="4" cm="1">
        <f t="array" ref="AB36">COUNTIF(D36:Z36,1)+COUNTIF(D36:Z36,U)+COUNTIF(D36:Z36,_xleta.T)+COUNTIF(D36:Z36,J)</f>
        <v>14</v>
      </c>
      <c r="AC36" s="4">
        <f t="shared" si="1"/>
        <v>0</v>
      </c>
      <c r="AD36" s="4">
        <f t="shared" si="2"/>
        <v>0</v>
      </c>
      <c r="AE36" s="4">
        <f t="shared" si="3"/>
        <v>0</v>
      </c>
      <c r="AF36" s="4">
        <f t="shared" si="0"/>
        <v>1</v>
      </c>
      <c r="AG36" s="10">
        <f t="shared" si="4"/>
        <v>0.7</v>
      </c>
    </row>
    <row r="37" spans="1:33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 t="s">
        <v>6</v>
      </c>
      <c r="E37" s="1">
        <v>1</v>
      </c>
      <c r="F37" s="1">
        <v>1</v>
      </c>
      <c r="G37" s="1">
        <v>1</v>
      </c>
      <c r="H37" s="1">
        <v>1</v>
      </c>
      <c r="I37" s="63"/>
      <c r="J37" s="4">
        <v>1</v>
      </c>
      <c r="K37" s="4">
        <v>1</v>
      </c>
      <c r="L37" s="4">
        <v>1</v>
      </c>
      <c r="M37" s="1">
        <v>1</v>
      </c>
      <c r="N37" s="1">
        <v>1</v>
      </c>
      <c r="O37" s="63"/>
      <c r="P37" s="4">
        <v>1</v>
      </c>
      <c r="Q37" s="1">
        <v>1</v>
      </c>
      <c r="R37" s="1">
        <v>1</v>
      </c>
      <c r="S37" s="4">
        <v>1</v>
      </c>
      <c r="T37" s="1">
        <v>1</v>
      </c>
      <c r="U37" s="63"/>
      <c r="V37" s="4"/>
      <c r="W37" s="4"/>
      <c r="X37" s="4"/>
      <c r="Y37" s="4"/>
      <c r="Z37" s="4"/>
      <c r="AA37" s="63"/>
      <c r="AB37" s="4" cm="1">
        <f t="array" ref="AB37">COUNTIF(D37:Z37,1)+COUNTIF(D37:Z37,U)+COUNTIF(D37:Z37,_xleta.T)+COUNTIF(D37:Z37,J)</f>
        <v>14</v>
      </c>
      <c r="AC37" s="4">
        <f t="shared" si="1"/>
        <v>0</v>
      </c>
      <c r="AD37" s="4">
        <f t="shared" si="2"/>
        <v>0</v>
      </c>
      <c r="AE37" s="4">
        <f t="shared" si="3"/>
        <v>0</v>
      </c>
      <c r="AF37" s="4">
        <f t="shared" si="0"/>
        <v>1</v>
      </c>
      <c r="AG37" s="10">
        <f t="shared" si="4"/>
        <v>0.7</v>
      </c>
    </row>
    <row r="38" spans="1:33" x14ac:dyDescent="0.3">
      <c r="A38" s="51">
        <v>27</v>
      </c>
      <c r="B38" s="9">
        <v>10</v>
      </c>
      <c r="C38" s="12" t="s">
        <v>56</v>
      </c>
      <c r="D38" s="1" t="s">
        <v>6</v>
      </c>
      <c r="E38" s="1" t="s">
        <v>6</v>
      </c>
      <c r="F38" s="1">
        <v>1</v>
      </c>
      <c r="G38" s="1">
        <v>1</v>
      </c>
      <c r="H38" s="1">
        <v>1</v>
      </c>
      <c r="I38" s="63"/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63"/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63"/>
      <c r="V38" s="4"/>
      <c r="W38" s="4"/>
      <c r="X38" s="4"/>
      <c r="Y38" s="4"/>
      <c r="Z38" s="4"/>
      <c r="AA38" s="63"/>
      <c r="AB38" s="4" cm="1">
        <f t="array" ref="AB38">COUNTIF(D38:Z38,1)+COUNTIF(D38:Z38,U)+COUNTIF(D38:Z38,_xleta.T)+COUNTIF(D38:Z38,J)</f>
        <v>13</v>
      </c>
      <c r="AC38" s="4">
        <f t="shared" ref="AC38" si="5">COUNTIF(D38:Z38,0)</f>
        <v>0</v>
      </c>
      <c r="AD38" s="4">
        <f t="shared" ref="AD38" si="6">COUNTIF(D38:Z38,"T")</f>
        <v>0</v>
      </c>
      <c r="AE38" s="4">
        <f t="shared" ref="AE38" si="7">COUNTIF(D38:Z38,"U")</f>
        <v>0</v>
      </c>
      <c r="AF38" s="4">
        <f t="shared" ref="AF38" si="8">COUNTIF(D38:Z38,"J")</f>
        <v>2</v>
      </c>
      <c r="AG38" s="10">
        <f>SUM(AB38)/20</f>
        <v>0.65</v>
      </c>
    </row>
    <row r="39" spans="1:33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1">
        <v>1</v>
      </c>
      <c r="G39" s="1" t="s">
        <v>50</v>
      </c>
      <c r="H39" s="1">
        <v>1</v>
      </c>
      <c r="I39" s="63"/>
      <c r="J39" s="4">
        <v>1</v>
      </c>
      <c r="K39" s="4">
        <v>1</v>
      </c>
      <c r="L39" s="4">
        <v>1</v>
      </c>
      <c r="M39" s="1">
        <v>1</v>
      </c>
      <c r="N39" s="1">
        <v>1</v>
      </c>
      <c r="O39" s="63"/>
      <c r="P39" s="4" t="s">
        <v>6</v>
      </c>
      <c r="Q39" s="1">
        <v>1</v>
      </c>
      <c r="R39" s="1">
        <v>1</v>
      </c>
      <c r="S39" s="4">
        <v>1</v>
      </c>
      <c r="T39" s="1">
        <v>1</v>
      </c>
      <c r="U39" s="63"/>
      <c r="V39" s="4"/>
      <c r="W39" s="4"/>
      <c r="X39" s="4"/>
      <c r="Y39" s="4"/>
      <c r="Z39" s="4"/>
      <c r="AA39" s="63"/>
      <c r="AB39" s="4" cm="1">
        <f t="array" ref="AB39">COUNTIF(D39:Z39,1)+COUNTIF(D39:Z39,U)+COUNTIF(D39:Z39,_xleta.T)+COUNTIF(D39:Z39,J)</f>
        <v>13</v>
      </c>
      <c r="AC39" s="4">
        <f t="shared" ref="AC39:AC40" si="9">COUNTIF(D39:Z39,0)</f>
        <v>0</v>
      </c>
      <c r="AD39" s="4">
        <f t="shared" ref="AD39:AD40" si="10">COUNTIF(D39:Z39,"T")</f>
        <v>0</v>
      </c>
      <c r="AE39" s="4">
        <f t="shared" ref="AE39:AE40" si="11">COUNTIF(D39:Z39,"U")</f>
        <v>1</v>
      </c>
      <c r="AF39" s="4">
        <f t="shared" ref="AF39:AF40" si="12">COUNTIF(D39:Z39,"J")</f>
        <v>1</v>
      </c>
      <c r="AG39" s="10">
        <f t="shared" ref="AG39:AG40" si="13">SUM(AB39+AD39)/20</f>
        <v>0.65</v>
      </c>
    </row>
    <row r="40" spans="1:33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63"/>
      <c r="J40" s="4">
        <v>1</v>
      </c>
      <c r="K40" s="4">
        <v>1</v>
      </c>
      <c r="L40" s="4">
        <v>1</v>
      </c>
      <c r="M40" s="1">
        <v>1</v>
      </c>
      <c r="N40" s="1">
        <v>1</v>
      </c>
      <c r="O40" s="63"/>
      <c r="P40" s="4">
        <v>1</v>
      </c>
      <c r="Q40" s="1">
        <v>1</v>
      </c>
      <c r="R40" s="1">
        <v>1</v>
      </c>
      <c r="S40" s="4">
        <v>1</v>
      </c>
      <c r="T40" s="1">
        <v>1</v>
      </c>
      <c r="U40" s="63"/>
      <c r="V40" s="4"/>
      <c r="W40" s="4"/>
      <c r="X40" s="4"/>
      <c r="Y40" s="4"/>
      <c r="Z40" s="4"/>
      <c r="AA40" s="63"/>
      <c r="AB40" s="4" cm="1">
        <f t="array" ref="AB40">COUNTIF(D40:Z40,1)+COUNTIF(D40:Z40,U)+COUNTIF(D40:Z40,_xleta.T)+COUNTIF(D40:Z40,J)</f>
        <v>15</v>
      </c>
      <c r="AC40" s="4">
        <f t="shared" si="9"/>
        <v>0</v>
      </c>
      <c r="AD40" s="4">
        <f t="shared" si="10"/>
        <v>0</v>
      </c>
      <c r="AE40" s="4">
        <f t="shared" si="11"/>
        <v>0</v>
      </c>
      <c r="AF40" s="4">
        <f t="shared" si="12"/>
        <v>0</v>
      </c>
      <c r="AG40" s="10">
        <f t="shared" si="13"/>
        <v>0.75</v>
      </c>
    </row>
    <row r="46" spans="1:33" x14ac:dyDescent="0.3">
      <c r="M46" s="4"/>
    </row>
    <row r="1048576" spans="20:20" x14ac:dyDescent="0.3">
      <c r="T1048576" s="1"/>
    </row>
  </sheetData>
  <mergeCells count="25">
    <mergeCell ref="AC10:AG10"/>
    <mergeCell ref="A1:B7"/>
    <mergeCell ref="C1:AC1"/>
    <mergeCell ref="A10:B10"/>
    <mergeCell ref="A9:B9"/>
    <mergeCell ref="C9:G9"/>
    <mergeCell ref="H9:J9"/>
    <mergeCell ref="K9:S9"/>
    <mergeCell ref="AA2:AC3"/>
    <mergeCell ref="AJ11:AQ11"/>
    <mergeCell ref="AA4:AC5"/>
    <mergeCell ref="AA6:AC7"/>
    <mergeCell ref="C7:Z7"/>
    <mergeCell ref="C2:Z6"/>
    <mergeCell ref="C10:J10"/>
    <mergeCell ref="K10:S10"/>
    <mergeCell ref="T10:Z10"/>
    <mergeCell ref="AA10:AB10"/>
    <mergeCell ref="I11:I40"/>
    <mergeCell ref="O11:O40"/>
    <mergeCell ref="U11:U40"/>
    <mergeCell ref="AA11:AA40"/>
    <mergeCell ref="AD1:AG7"/>
    <mergeCell ref="A8:AG8"/>
    <mergeCell ref="Y9:AG9"/>
  </mergeCells>
  <conditionalFormatting sqref="D12:D40 E38">
    <cfRule type="cellIs" dxfId="931" priority="358" operator="equal">
      <formula>"J"</formula>
    </cfRule>
    <cfRule type="cellIs" dxfId="930" priority="356" operator="equal">
      <formula>"U"</formula>
    </cfRule>
  </conditionalFormatting>
  <conditionalFormatting sqref="D36 F36:G36">
    <cfRule type="iconSet" priority="132">
      <iconSet iconSet="3Symbols">
        <cfvo type="percent" val="0"/>
        <cfvo type="percent" val="33"/>
        <cfvo type="percent" val="67"/>
      </iconSet>
    </cfRule>
  </conditionalFormatting>
  <conditionalFormatting sqref="D37:D39 F39:G39 F14:G35 D12:H12 D13:G13 E14:E40 F37:F38 D14:D35">
    <cfRule type="iconSet" priority="359">
      <iconSet iconSet="3Symbols">
        <cfvo type="percent" val="0"/>
        <cfvo type="percent" val="33"/>
        <cfvo type="percent" val="67"/>
      </iconSet>
    </cfRule>
  </conditionalFormatting>
  <conditionalFormatting sqref="D40 F40:G40">
    <cfRule type="iconSet" priority="138">
      <iconSet iconSet="3Symbols">
        <cfvo type="percent" val="0"/>
        <cfvo type="percent" val="33"/>
        <cfvo type="percent" val="67"/>
      </iconSet>
    </cfRule>
  </conditionalFormatting>
  <conditionalFormatting sqref="D13:G40">
    <cfRule type="cellIs" dxfId="929" priority="139" stopIfTrue="1" operator="equal">
      <formula>"T"</formula>
    </cfRule>
  </conditionalFormatting>
  <conditionalFormatting sqref="D14:G40">
    <cfRule type="cellIs" dxfId="928" priority="141" operator="equal">
      <formula>"J"</formula>
    </cfRule>
  </conditionalFormatting>
  <conditionalFormatting sqref="G18">
    <cfRule type="cellIs" dxfId="927" priority="151" operator="equal">
      <formula>"T, t"</formula>
    </cfRule>
  </conditionalFormatting>
  <conditionalFormatting sqref="G37:G38">
    <cfRule type="iconSet" priority="18">
      <iconSet iconSet="3Symbols">
        <cfvo type="percent" val="0"/>
        <cfvo type="percent" val="33"/>
        <cfvo type="percent" val="67"/>
      </iconSet>
    </cfRule>
  </conditionalFormatting>
  <conditionalFormatting sqref="G38">
    <cfRule type="iconSet" priority="17">
      <iconSet iconSet="3Symbols">
        <cfvo type="percent" val="0"/>
        <cfvo type="percent" val="33"/>
        <cfvo type="percent" val="67"/>
      </iconSet>
    </cfRule>
  </conditionalFormatting>
  <conditionalFormatting sqref="H13:H40">
    <cfRule type="cellIs" dxfId="926" priority="21" stopIfTrue="1" operator="equal">
      <formula>"T"</formula>
    </cfRule>
    <cfRule type="cellIs" dxfId="925" priority="23" operator="equal">
      <formula>"J"</formula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H38">
    <cfRule type="cellIs" dxfId="924" priority="13" stopIfTrue="1" operator="equal">
      <formula>"T"</formula>
    </cfRule>
    <cfRule type="cellIs" dxfId="923" priority="15" operator="equal">
      <formula>"J"</formula>
    </cfRule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I11:I12 J12:N12 P12:T24 J13:L24 V13:Z24 M13:N40 Q14:Q25 F14:G24 AA11:AA12">
    <cfRule type="cellIs" dxfId="922" priority="153" operator="equal">
      <formula>"T"</formula>
    </cfRule>
  </conditionalFormatting>
  <conditionalFormatting sqref="J38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J17:K24">
    <cfRule type="cellIs" dxfId="921" priority="154" stopIfTrue="1" operator="equal">
      <formula>"J"</formula>
    </cfRule>
  </conditionalFormatting>
  <conditionalFormatting sqref="K38">
    <cfRule type="iconSet" priority="11">
      <iconSet iconSet="3Symbols">
        <cfvo type="percent" val="0"/>
        <cfvo type="percent" val="33"/>
        <cfvo type="percent" val="67"/>
      </iconSet>
    </cfRule>
  </conditionalFormatting>
  <conditionalFormatting sqref="L38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M38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N38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P25">
    <cfRule type="cellIs" dxfId="920" priority="119" operator="equal">
      <formula>"T"</formula>
    </cfRule>
  </conditionalFormatting>
  <conditionalFormatting sqref="P38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P13:T40 D11:Z12 J13:N40 V13:Z40 M46">
    <cfRule type="cellIs" dxfId="919" priority="148" stopIfTrue="1" operator="equal">
      <formula>"T"</formula>
    </cfRule>
  </conditionalFormatting>
  <conditionalFormatting sqref="Q12:Q40">
    <cfRule type="cellIs" dxfId="918" priority="71" operator="equal">
      <formula>"T"</formula>
    </cfRule>
  </conditionalFormatting>
  <conditionalFormatting sqref="Q3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R25:R40">
    <cfRule type="cellIs" dxfId="917" priority="396" operator="equal">
      <formula>"T"</formula>
    </cfRule>
  </conditionalFormatting>
  <conditionalFormatting sqref="R3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S25">
    <cfRule type="cellIs" dxfId="916" priority="56" operator="equal">
      <formula>"T"</formula>
    </cfRule>
  </conditionalFormatting>
  <conditionalFormatting sqref="S3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T25:T40">
    <cfRule type="cellIs" dxfId="915" priority="27" operator="equal">
      <formula>"T"</formula>
    </cfRule>
  </conditionalFormatting>
  <conditionalFormatting sqref="T38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T1048576">
    <cfRule type="cellIs" dxfId="914" priority="38" stopIfTrue="1" operator="equal">
      <formula>"T"</formula>
    </cfRule>
    <cfRule type="cellIs" dxfId="913" priority="40" operator="equal">
      <formula>"J"</formula>
    </cfRule>
    <cfRule type="cellIs" dxfId="912" priority="41" operator="equal">
      <formula>"T"</formula>
    </cfRule>
  </conditionalFormatting>
  <conditionalFormatting sqref="V13:Z40 I11:I12 E12:H12 J12:N40 P12:T40 M46 E13:G13">
    <cfRule type="cellIs" dxfId="911" priority="152" operator="equal">
      <formula>"J"</formula>
    </cfRule>
  </conditionalFormatting>
  <conditionalFormatting sqref="Z13">
    <cfRule type="cellIs" dxfId="910" priority="150" operator="equal">
      <formula>"J"</formula>
    </cfRule>
  </conditionalFormatting>
  <dataValidations count="1">
    <dataValidation type="list" allowBlank="1" showInputMessage="1" showErrorMessage="1" sqref="V13:Z40 J12:N40 T1048576 M46 P12:T40 D12:H40" xr:uid="{A013028C-AA9C-4AC5-85ED-8F2F7D23FFB6}">
      <formula1>$AK$13:$AK$17</formula1>
    </dataValidation>
  </dataValidations>
  <pageMargins left="0.7" right="0.7" top="0.75" bottom="0.75" header="0.3" footer="0.3"/>
  <pageSetup orientation="landscape" horizontalDpi="4294967293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7" id="{135B9093-EBED-4D52-8E1C-B778E83E7F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D12:D40 E38</xm:sqref>
        </x14:conditionalFormatting>
        <x14:conditionalFormatting xmlns:xm="http://schemas.microsoft.com/office/excel/2006/main">
          <x14:cfRule type="iconSet" priority="133" id="{BD0EAB1F-C203-4349-95DE-E5F0A46970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D36 F36:G36</xm:sqref>
        </x14:conditionalFormatting>
        <x14:conditionalFormatting xmlns:xm="http://schemas.microsoft.com/office/excel/2006/main">
          <x14:cfRule type="iconSet" priority="140" id="{417B74CE-BB6E-43E4-A514-84D207E1DD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D40 F40:G40</xm:sqref>
        </x14:conditionalFormatting>
        <x14:conditionalFormatting xmlns:xm="http://schemas.microsoft.com/office/excel/2006/main">
          <x14:cfRule type="iconSet" priority="297" id="{1D2CE652-9116-4CF8-BC83-F50136642F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D41:AA63 D25:D35 D37:D40 V25:Z40 F37:F38 F25:G35 F39:G40 H12:H40 E38:H38 J16:L40 P25:T40</xm:sqref>
        </x14:conditionalFormatting>
        <x14:conditionalFormatting xmlns:xm="http://schemas.microsoft.com/office/excel/2006/main">
          <x14:cfRule type="iconSet" priority="367" id="{1B616018-B274-4EEA-882C-D53410C80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F17:G24 F14:G14 G16 Z14:Z24 I11:I12 V13:Z13 J13:L24 M13:N40 Q14:Q25 J12:N12 P12:T13</xm:sqref>
        </x14:conditionalFormatting>
        <x14:conditionalFormatting xmlns:xm="http://schemas.microsoft.com/office/excel/2006/main">
          <x14:cfRule type="iconSet" priority="19" id="{C718078E-4C5C-4D1B-888B-6E23DD0C65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G37:G38</xm:sqref>
        </x14:conditionalFormatting>
        <x14:conditionalFormatting xmlns:xm="http://schemas.microsoft.com/office/excel/2006/main">
          <x14:cfRule type="iconSet" priority="22" id="{CEF1EEBA-D67C-4657-AE3E-20D6F48505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H13:H40</xm:sqref>
        </x14:conditionalFormatting>
        <x14:conditionalFormatting xmlns:xm="http://schemas.microsoft.com/office/excel/2006/main">
          <x14:cfRule type="iconSet" priority="14" id="{D527294E-01CF-4CEA-A60D-525AE85DEF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H38</xm:sqref>
        </x14:conditionalFormatting>
        <x14:conditionalFormatting xmlns:xm="http://schemas.microsoft.com/office/excel/2006/main">
          <x14:cfRule type="iconSet" priority="8" id="{6148AB98-0631-479C-A985-E2B6B120F9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M38</xm:sqref>
        </x14:conditionalFormatting>
        <x14:conditionalFormatting xmlns:xm="http://schemas.microsoft.com/office/excel/2006/main">
          <x14:cfRule type="iconSet" priority="149" id="{2144110B-7801-499C-A972-09437F11A6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M46 I11:I12 V13:Z40 E12:H12 E13:G13 E14:E40 F14:G39 J12:N40 P12:T40 D14:D39</xm:sqref>
        </x14:conditionalFormatting>
        <x14:conditionalFormatting xmlns:xm="http://schemas.microsoft.com/office/excel/2006/main">
          <x14:cfRule type="iconSet" priority="6" id="{D4730CCB-1A38-4980-B472-9D30C44E05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N38</xm:sqref>
        </x14:conditionalFormatting>
        <x14:conditionalFormatting xmlns:xm="http://schemas.microsoft.com/office/excel/2006/main">
          <x14:cfRule type="iconSet" priority="131" id="{DF30730A-3B0C-46C4-AFB3-75E2A42C09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P14</xm:sqref>
        </x14:conditionalFormatting>
        <x14:conditionalFormatting xmlns:xm="http://schemas.microsoft.com/office/excel/2006/main">
          <x14:cfRule type="iconSet" priority="130" id="{9A821EB2-EE53-464A-BB08-814B985601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P15</xm:sqref>
        </x14:conditionalFormatting>
        <x14:conditionalFormatting xmlns:xm="http://schemas.microsoft.com/office/excel/2006/main">
          <x14:cfRule type="iconSet" priority="129" id="{96535399-DAD3-4090-A0B2-B227B2489F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P16</xm:sqref>
        </x14:conditionalFormatting>
        <x14:conditionalFormatting xmlns:xm="http://schemas.microsoft.com/office/excel/2006/main">
          <x14:cfRule type="iconSet" priority="128" id="{765A6DE2-573E-4FE5-9470-03B42BECC9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P17</xm:sqref>
        </x14:conditionalFormatting>
        <x14:conditionalFormatting xmlns:xm="http://schemas.microsoft.com/office/excel/2006/main">
          <x14:cfRule type="iconSet" priority="127" id="{4409CEC4-862D-4BA0-A3D4-21203E1ECC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P18</xm:sqref>
        </x14:conditionalFormatting>
        <x14:conditionalFormatting xmlns:xm="http://schemas.microsoft.com/office/excel/2006/main">
          <x14:cfRule type="iconSet" priority="126" id="{0DF0F497-E011-45DA-A47E-FCD088F4BC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P19</xm:sqref>
        </x14:conditionalFormatting>
        <x14:conditionalFormatting xmlns:xm="http://schemas.microsoft.com/office/excel/2006/main">
          <x14:cfRule type="iconSet" priority="125" id="{29123580-1733-44FB-B241-A6361B02CF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P20</xm:sqref>
        </x14:conditionalFormatting>
        <x14:conditionalFormatting xmlns:xm="http://schemas.microsoft.com/office/excel/2006/main">
          <x14:cfRule type="iconSet" priority="124" id="{4A0D59DB-773B-4D66-816C-6C19A6FCE7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P21</xm:sqref>
        </x14:conditionalFormatting>
        <x14:conditionalFormatting xmlns:xm="http://schemas.microsoft.com/office/excel/2006/main">
          <x14:cfRule type="iconSet" priority="123" id="{CFB4DD0A-A8D1-44F3-B122-D719C2E4ED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P22</xm:sqref>
        </x14:conditionalFormatting>
        <x14:conditionalFormatting xmlns:xm="http://schemas.microsoft.com/office/excel/2006/main">
          <x14:cfRule type="iconSet" priority="122" id="{005C19C4-43CE-4122-81FE-7A0C79E955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P23</xm:sqref>
        </x14:conditionalFormatting>
        <x14:conditionalFormatting xmlns:xm="http://schemas.microsoft.com/office/excel/2006/main">
          <x14:cfRule type="iconSet" priority="121" id="{3B184019-638B-4B14-935F-467F5348A7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P24</xm:sqref>
        </x14:conditionalFormatting>
        <x14:conditionalFormatting xmlns:xm="http://schemas.microsoft.com/office/excel/2006/main">
          <x14:cfRule type="iconSet" priority="120" id="{CF78C66A-5F31-4851-B8AC-29DB962136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P25</xm:sqref>
        </x14:conditionalFormatting>
        <x14:conditionalFormatting xmlns:xm="http://schemas.microsoft.com/office/excel/2006/main">
          <x14:cfRule type="iconSet" priority="72" id="{56C5030B-DF51-451A-95E4-41EF28A2B7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" id="{05EFC3BD-7ABC-46C0-A361-15DEBAF7CD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Q12:Q25</xm:sqref>
        </x14:conditionalFormatting>
        <x14:conditionalFormatting xmlns:xm="http://schemas.microsoft.com/office/excel/2006/main">
          <x14:cfRule type="iconSet" priority="118" id="{1CF1249B-0281-42AD-A424-2AC21A722B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Q26</xm:sqref>
        </x14:conditionalFormatting>
        <x14:conditionalFormatting xmlns:xm="http://schemas.microsoft.com/office/excel/2006/main">
          <x14:cfRule type="iconSet" priority="116" id="{952B553A-5967-48E9-B85E-C170349046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Q27</xm:sqref>
        </x14:conditionalFormatting>
        <x14:conditionalFormatting xmlns:xm="http://schemas.microsoft.com/office/excel/2006/main">
          <x14:cfRule type="iconSet" priority="114" id="{5378E1F1-8381-49DB-B854-E5FF26AF14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Q28</xm:sqref>
        </x14:conditionalFormatting>
        <x14:conditionalFormatting xmlns:xm="http://schemas.microsoft.com/office/excel/2006/main">
          <x14:cfRule type="iconSet" priority="112" id="{F56027BC-AA76-4893-B9A4-8B91614261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Q29</xm:sqref>
        </x14:conditionalFormatting>
        <x14:conditionalFormatting xmlns:xm="http://schemas.microsoft.com/office/excel/2006/main">
          <x14:cfRule type="iconSet" priority="110" id="{DD6FACC9-AAAB-4837-9EC3-E9E42BB678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Q30</xm:sqref>
        </x14:conditionalFormatting>
        <x14:conditionalFormatting xmlns:xm="http://schemas.microsoft.com/office/excel/2006/main">
          <x14:cfRule type="iconSet" priority="108" id="{428924B9-C4F9-4E36-B844-457F3BC4FB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Q31</xm:sqref>
        </x14:conditionalFormatting>
        <x14:conditionalFormatting xmlns:xm="http://schemas.microsoft.com/office/excel/2006/main">
          <x14:cfRule type="iconSet" priority="106" id="{80FC6685-6B61-4828-8AEC-BB2E99C27A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Q32</xm:sqref>
        </x14:conditionalFormatting>
        <x14:conditionalFormatting xmlns:xm="http://schemas.microsoft.com/office/excel/2006/main">
          <x14:cfRule type="iconSet" priority="104" id="{22EB28B5-60E5-45B6-9306-3B8C933ECB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Q33</xm:sqref>
        </x14:conditionalFormatting>
        <x14:conditionalFormatting xmlns:xm="http://schemas.microsoft.com/office/excel/2006/main">
          <x14:cfRule type="iconSet" priority="102" id="{2674C1F5-CF86-40BF-8BB8-FD9DF17049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Q34</xm:sqref>
        </x14:conditionalFormatting>
        <x14:conditionalFormatting xmlns:xm="http://schemas.microsoft.com/office/excel/2006/main">
          <x14:cfRule type="iconSet" priority="100" id="{C948004D-7D48-480B-AE1D-D2D28D18A1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Q35</xm:sqref>
        </x14:conditionalFormatting>
        <x14:conditionalFormatting xmlns:xm="http://schemas.microsoft.com/office/excel/2006/main">
          <x14:cfRule type="iconSet" priority="98" id="{25FBDA06-8087-47F8-8424-F79CB6BF21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Q36</xm:sqref>
        </x14:conditionalFormatting>
        <x14:conditionalFormatting xmlns:xm="http://schemas.microsoft.com/office/excel/2006/main">
          <x14:cfRule type="iconSet" priority="96" id="{6FA8400A-5B86-47C1-8358-BA262926A1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Q37:Q38</xm:sqref>
        </x14:conditionalFormatting>
        <x14:conditionalFormatting xmlns:xm="http://schemas.microsoft.com/office/excel/2006/main">
          <x14:cfRule type="iconSet" priority="94" id="{BEA57744-B388-42FE-8098-ADE41056F5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Q39</xm:sqref>
        </x14:conditionalFormatting>
        <x14:conditionalFormatting xmlns:xm="http://schemas.microsoft.com/office/excel/2006/main">
          <x14:cfRule type="iconSet" priority="92" id="{5228C97A-DBBA-44CF-B74D-80816D6CCA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Q40</xm:sqref>
        </x14:conditionalFormatting>
        <x14:conditionalFormatting xmlns:xm="http://schemas.microsoft.com/office/excel/2006/main">
          <x14:cfRule type="iconSet" priority="85" id="{88AD14CF-5A70-46B2-BE2B-102683AF7E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R15</xm:sqref>
        </x14:conditionalFormatting>
        <x14:conditionalFormatting xmlns:xm="http://schemas.microsoft.com/office/excel/2006/main">
          <x14:cfRule type="iconSet" priority="84" id="{1FD5A904-4A96-42BD-912F-D46491507C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</xm:sqref>
        </x14:conditionalFormatting>
        <x14:conditionalFormatting xmlns:xm="http://schemas.microsoft.com/office/excel/2006/main">
          <x14:cfRule type="iconSet" priority="83" id="{BB1EDFB1-293E-4701-8037-634B47C5E1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</xm:sqref>
        </x14:conditionalFormatting>
        <x14:conditionalFormatting xmlns:xm="http://schemas.microsoft.com/office/excel/2006/main">
          <x14:cfRule type="iconSet" priority="82" id="{13872CFA-553F-4FF1-B3A3-6493C13F4E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R18</xm:sqref>
        </x14:conditionalFormatting>
        <x14:conditionalFormatting xmlns:xm="http://schemas.microsoft.com/office/excel/2006/main">
          <x14:cfRule type="iconSet" priority="81" id="{C09D50FB-469F-4EBE-A7A7-97EA96404B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R19</xm:sqref>
        </x14:conditionalFormatting>
        <x14:conditionalFormatting xmlns:xm="http://schemas.microsoft.com/office/excel/2006/main">
          <x14:cfRule type="iconSet" priority="79" id="{D323B707-375E-494C-8CA6-8C6CA4E54E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" id="{950F491C-F0BF-42B2-A769-7611C81FCD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R20</xm:sqref>
        </x14:conditionalFormatting>
        <x14:conditionalFormatting xmlns:xm="http://schemas.microsoft.com/office/excel/2006/main">
          <x14:cfRule type="iconSet" priority="78" id="{829AB9BD-E48F-4D5B-8B95-BB159BB0A2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R21</xm:sqref>
        </x14:conditionalFormatting>
        <x14:conditionalFormatting xmlns:xm="http://schemas.microsoft.com/office/excel/2006/main">
          <x14:cfRule type="iconSet" priority="77" id="{C7308394-F483-42C0-A450-30B54D7924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R22</xm:sqref>
        </x14:conditionalFormatting>
        <x14:conditionalFormatting xmlns:xm="http://schemas.microsoft.com/office/excel/2006/main">
          <x14:cfRule type="iconSet" priority="76" id="{0F732B87-6E6F-4102-B71A-A6351DB225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R23</xm:sqref>
        </x14:conditionalFormatting>
        <x14:conditionalFormatting xmlns:xm="http://schemas.microsoft.com/office/excel/2006/main">
          <x14:cfRule type="iconSet" priority="397" id="{E5392582-1EDF-4240-97C8-E9AD367CB9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R25:R40</xm:sqref>
        </x14:conditionalFormatting>
        <x14:conditionalFormatting xmlns:xm="http://schemas.microsoft.com/office/excel/2006/main">
          <x14:cfRule type="iconSet" priority="67" id="{E889D354-7ECF-4970-A5DE-C064834FEB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S14</xm:sqref>
        </x14:conditionalFormatting>
        <x14:conditionalFormatting xmlns:xm="http://schemas.microsoft.com/office/excel/2006/main">
          <x14:cfRule type="iconSet" priority="66" id="{7704BA05-A4AE-483F-BC90-64C49552D9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S15</xm:sqref>
        </x14:conditionalFormatting>
        <x14:conditionalFormatting xmlns:xm="http://schemas.microsoft.com/office/excel/2006/main">
          <x14:cfRule type="iconSet" priority="65" id="{010DCF95-AB7B-4924-8207-E264CD2C8C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S16</xm:sqref>
        </x14:conditionalFormatting>
        <x14:conditionalFormatting xmlns:xm="http://schemas.microsoft.com/office/excel/2006/main">
          <x14:cfRule type="iconSet" priority="64" id="{95968611-6B06-4AC5-B541-CC088CB1EE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S17</xm:sqref>
        </x14:conditionalFormatting>
        <x14:conditionalFormatting xmlns:xm="http://schemas.microsoft.com/office/excel/2006/main">
          <x14:cfRule type="iconSet" priority="63" id="{0D888375-30DB-4096-BD6E-D090292A0F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S18</xm:sqref>
        </x14:conditionalFormatting>
        <x14:conditionalFormatting xmlns:xm="http://schemas.microsoft.com/office/excel/2006/main">
          <x14:cfRule type="iconSet" priority="62" id="{461F2F93-0DC1-402E-8943-210558B21D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S19</xm:sqref>
        </x14:conditionalFormatting>
        <x14:conditionalFormatting xmlns:xm="http://schemas.microsoft.com/office/excel/2006/main">
          <x14:cfRule type="iconSet" priority="61" id="{2A1C41FB-02A6-4F68-B61B-18BECD0491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S20</xm:sqref>
        </x14:conditionalFormatting>
        <x14:conditionalFormatting xmlns:xm="http://schemas.microsoft.com/office/excel/2006/main">
          <x14:cfRule type="iconSet" priority="60" id="{D805D9D4-5052-49BB-86F2-9D2441BF6D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S21</xm:sqref>
        </x14:conditionalFormatting>
        <x14:conditionalFormatting xmlns:xm="http://schemas.microsoft.com/office/excel/2006/main">
          <x14:cfRule type="iconSet" priority="59" id="{C902155B-7396-4A71-A76F-3E64415349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S22</xm:sqref>
        </x14:conditionalFormatting>
        <x14:conditionalFormatting xmlns:xm="http://schemas.microsoft.com/office/excel/2006/main">
          <x14:cfRule type="iconSet" priority="58" id="{9D41C0CB-7011-42F9-80B7-5ED865B05F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S23</xm:sqref>
        </x14:conditionalFormatting>
        <x14:conditionalFormatting xmlns:xm="http://schemas.microsoft.com/office/excel/2006/main">
          <x14:cfRule type="iconSet" priority="57" id="{64729ADA-EFCB-40CB-AFCA-59AB2A8410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S24:S25</xm:sqref>
        </x14:conditionalFormatting>
        <x14:conditionalFormatting xmlns:xm="http://schemas.microsoft.com/office/excel/2006/main">
          <x14:cfRule type="iconSet" priority="53" id="{BCB3D05E-F16F-420A-9F99-7ECD9571BB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T14</xm:sqref>
        </x14:conditionalFormatting>
        <x14:conditionalFormatting xmlns:xm="http://schemas.microsoft.com/office/excel/2006/main">
          <x14:cfRule type="iconSet" priority="52" id="{359AE4B9-4690-4E13-BC3A-EA4FD261CB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T15</xm:sqref>
        </x14:conditionalFormatting>
        <x14:conditionalFormatting xmlns:xm="http://schemas.microsoft.com/office/excel/2006/main">
          <x14:cfRule type="iconSet" priority="51" id="{400104E3-29E2-4529-8136-B967DE697D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T16</xm:sqref>
        </x14:conditionalFormatting>
        <x14:conditionalFormatting xmlns:xm="http://schemas.microsoft.com/office/excel/2006/main">
          <x14:cfRule type="iconSet" priority="50" id="{DFAC5808-FD81-4C1C-83FC-BADF6B74E0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T17</xm:sqref>
        </x14:conditionalFormatting>
        <x14:conditionalFormatting xmlns:xm="http://schemas.microsoft.com/office/excel/2006/main">
          <x14:cfRule type="iconSet" priority="49" id="{1951953D-FA3D-4736-B7EF-40636B7D45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T18</xm:sqref>
        </x14:conditionalFormatting>
        <x14:conditionalFormatting xmlns:xm="http://schemas.microsoft.com/office/excel/2006/main">
          <x14:cfRule type="iconSet" priority="48" id="{920B903B-969C-4F8E-991C-881A0ECB50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T19</xm:sqref>
        </x14:conditionalFormatting>
        <x14:conditionalFormatting xmlns:xm="http://schemas.microsoft.com/office/excel/2006/main">
          <x14:cfRule type="iconSet" priority="47" id="{9BA6532B-29E4-47C2-BCEE-BE23D63117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T20</xm:sqref>
        </x14:conditionalFormatting>
        <x14:conditionalFormatting xmlns:xm="http://schemas.microsoft.com/office/excel/2006/main">
          <x14:cfRule type="iconSet" priority="46" id="{030971D3-427D-4247-83CC-957AD05060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T21</xm:sqref>
        </x14:conditionalFormatting>
        <x14:conditionalFormatting xmlns:xm="http://schemas.microsoft.com/office/excel/2006/main">
          <x14:cfRule type="iconSet" priority="45" id="{DAF8063F-F43C-45DF-B6B0-B0BE8DC220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T22</xm:sqref>
        </x14:conditionalFormatting>
        <x14:conditionalFormatting xmlns:xm="http://schemas.microsoft.com/office/excel/2006/main">
          <x14:cfRule type="iconSet" priority="44" id="{2C52B57B-434E-41C9-921B-692BE02E9D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T23</xm:sqref>
        </x14:conditionalFormatting>
        <x14:conditionalFormatting xmlns:xm="http://schemas.microsoft.com/office/excel/2006/main">
          <x14:cfRule type="iconSet" priority="398" id="{97A221A1-59CD-499C-9EF7-7420CB43FB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T24:T40</xm:sqref>
        </x14:conditionalFormatting>
        <x14:conditionalFormatting xmlns:xm="http://schemas.microsoft.com/office/excel/2006/main">
          <x14:cfRule type="iconSet" priority="42" id="{5389FC6E-0814-4EE4-8053-9C3A539F84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40C7-486B-4924-8305-4E4A011CFAB6}">
  <sheetPr codeName="Hoja3"/>
  <dimension ref="A1:AP40"/>
  <sheetViews>
    <sheetView topLeftCell="C1" zoomScaleNormal="100" workbookViewId="0">
      <selection activeCell="AI11" sqref="AI11:AP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4" width="3.21875" customWidth="1"/>
    <col min="25" max="25" width="3.1093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0" bestFit="1" customWidth="1"/>
    <col min="31" max="31" width="14.77734375" bestFit="1" customWidth="1"/>
    <col min="32" max="32" width="13.77734375" bestFit="1" customWidth="1"/>
  </cols>
  <sheetData>
    <row r="1" spans="1:42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8"/>
      <c r="AE1" s="70"/>
      <c r="AF1" s="70"/>
    </row>
    <row r="2" spans="1:42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48"/>
      <c r="AE2" s="70"/>
      <c r="AF2" s="70"/>
    </row>
    <row r="3" spans="1:42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48"/>
      <c r="AE3" s="70"/>
      <c r="AF3" s="70"/>
    </row>
    <row r="4" spans="1:42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49"/>
      <c r="AE4" s="70"/>
      <c r="AF4" s="70"/>
    </row>
    <row r="5" spans="1:42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49"/>
      <c r="AE5" s="70"/>
      <c r="AF5" s="70"/>
    </row>
    <row r="6" spans="1:42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49"/>
      <c r="AE6" s="70"/>
      <c r="AF6" s="70"/>
    </row>
    <row r="7" spans="1:42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49"/>
      <c r="AE7" s="70"/>
      <c r="AF7" s="70"/>
    </row>
    <row r="8" spans="1:42" x14ac:dyDescent="0.3">
      <c r="A8" s="64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7"/>
    </row>
    <row r="9" spans="1:42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9"/>
      <c r="Z9" s="56"/>
      <c r="AA9" s="56"/>
      <c r="AB9" s="56"/>
      <c r="AC9" s="56"/>
      <c r="AD9" s="56"/>
      <c r="AE9" s="56"/>
      <c r="AF9" s="75"/>
    </row>
    <row r="10" spans="1:42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7"/>
      <c r="Z10" s="67"/>
      <c r="AA10" s="67" t="s">
        <v>22</v>
      </c>
      <c r="AB10" s="67"/>
      <c r="AC10" s="59"/>
      <c r="AD10" s="56"/>
      <c r="AE10" s="56"/>
      <c r="AF10" s="75"/>
    </row>
    <row r="11" spans="1:42" s="3" customFormat="1" x14ac:dyDescent="0.3">
      <c r="A11" s="1" t="s">
        <v>8</v>
      </c>
      <c r="B11" s="2" t="s">
        <v>7</v>
      </c>
      <c r="C11" s="11" t="s">
        <v>0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60"/>
      <c r="J11" s="1">
        <v>9</v>
      </c>
      <c r="K11" s="1">
        <v>10</v>
      </c>
      <c r="L11" s="1">
        <v>11</v>
      </c>
      <c r="M11" s="1">
        <v>12</v>
      </c>
      <c r="N11" s="1">
        <v>13</v>
      </c>
      <c r="O11" s="60"/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60"/>
      <c r="V11" s="1">
        <v>24</v>
      </c>
      <c r="W11" s="1">
        <v>25</v>
      </c>
      <c r="X11" s="1">
        <v>26</v>
      </c>
      <c r="Y11" s="1">
        <v>27</v>
      </c>
      <c r="Z11" s="60"/>
      <c r="AA11" s="1" t="s">
        <v>1</v>
      </c>
      <c r="AB11" s="1" t="s">
        <v>2</v>
      </c>
      <c r="AC11" s="1" t="s">
        <v>3</v>
      </c>
      <c r="AD11" s="1" t="s">
        <v>52</v>
      </c>
      <c r="AE11" s="1" t="s">
        <v>4</v>
      </c>
      <c r="AF11" s="1" t="s">
        <v>5</v>
      </c>
      <c r="AI11" s="71" t="s">
        <v>9</v>
      </c>
      <c r="AJ11" s="72"/>
      <c r="AK11" s="72"/>
      <c r="AL11" s="72"/>
      <c r="AM11" s="72"/>
      <c r="AN11" s="72"/>
      <c r="AO11" s="72"/>
      <c r="AP11" s="73"/>
    </row>
    <row r="12" spans="1:42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/>
      <c r="H12" s="1"/>
      <c r="I12" s="63"/>
      <c r="J12" s="1"/>
      <c r="K12" s="1"/>
      <c r="L12" s="1"/>
      <c r="M12" s="1"/>
      <c r="N12" s="1"/>
      <c r="O12" s="63"/>
      <c r="P12" s="1"/>
      <c r="Q12" s="1"/>
      <c r="R12" s="1"/>
      <c r="S12" s="1"/>
      <c r="T12" s="1"/>
      <c r="U12" s="63"/>
      <c r="V12" s="1"/>
      <c r="W12" s="1"/>
      <c r="X12" s="1"/>
      <c r="Y12" s="1"/>
      <c r="Z12" s="63"/>
      <c r="AA12" s="4" cm="1">
        <f t="array" ref="AA12">COUNTIF(D12:Y12,1)+COUNTIF(D12:Y12,_xleta.T)+COUNTIF(D12:Y12,U)+COUNTIF(D12:Y12,J)</f>
        <v>3</v>
      </c>
      <c r="AB12" s="4">
        <f t="shared" ref="AB12:AB36" si="0">COUNTIF(D12:Y12,0)</f>
        <v>0</v>
      </c>
      <c r="AC12" s="4">
        <f t="shared" ref="AC12:AC36" si="1">COUNTIF(D12:Y12,"T")</f>
        <v>0</v>
      </c>
      <c r="AD12" s="4">
        <f>COUNTIF(D12:Y12,"U")</f>
        <v>0</v>
      </c>
      <c r="AE12" s="4">
        <f t="shared" ref="AE12:AE36" si="2">COUNTIF(D12:Y12,"J")</f>
        <v>0</v>
      </c>
      <c r="AF12" s="10">
        <f>SUM(AA12)/COUNTA($D$11:$H$11,$J$11:$N$11,$P$11:$T$11,$V$11:$Y$11)</f>
        <v>0.15789473684210525</v>
      </c>
      <c r="AI12" s="17"/>
      <c r="AJ12" s="14">
        <v>1</v>
      </c>
      <c r="AK12" s="3" t="s">
        <v>10</v>
      </c>
      <c r="AL12" s="8"/>
      <c r="AM12" s="8"/>
      <c r="AP12" s="18"/>
    </row>
    <row r="13" spans="1:42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1</v>
      </c>
      <c r="E13" s="1">
        <v>1</v>
      </c>
      <c r="F13" s="1" t="s">
        <v>50</v>
      </c>
      <c r="G13" s="1"/>
      <c r="H13" s="1"/>
      <c r="I13" s="63"/>
      <c r="J13" s="1"/>
      <c r="K13" s="1"/>
      <c r="L13" s="1"/>
      <c r="M13" s="1"/>
      <c r="N13" s="1"/>
      <c r="O13" s="63"/>
      <c r="P13" s="1"/>
      <c r="Q13" s="1"/>
      <c r="R13" s="1"/>
      <c r="S13" s="1"/>
      <c r="T13" s="1"/>
      <c r="U13" s="63"/>
      <c r="V13" s="1"/>
      <c r="W13" s="1"/>
      <c r="X13" s="1"/>
      <c r="Y13" s="1"/>
      <c r="Z13" s="63"/>
      <c r="AA13" s="4" cm="1">
        <f t="array" ref="AA13">COUNTIF(D13:Y13,1)+COUNTIF(D13:Y13,_xleta.T)+COUNTIF(D13:Y13,U)+COUNTIF(D13:Y13,J)</f>
        <v>2</v>
      </c>
      <c r="AB13" s="4">
        <f t="shared" si="0"/>
        <v>0</v>
      </c>
      <c r="AC13" s="4">
        <f t="shared" si="1"/>
        <v>0</v>
      </c>
      <c r="AD13" s="4">
        <f t="shared" ref="AD13:AD36" si="3">COUNTIF(D13:Y13,"U")</f>
        <v>1</v>
      </c>
      <c r="AE13" s="4">
        <f t="shared" si="2"/>
        <v>0</v>
      </c>
      <c r="AF13" s="10">
        <f t="shared" ref="AF13:AF36" si="4">SUM(AA13)/COUNTA($D$11:$H$11,$J$11:$N$11,$P$11:$T$11,$V$11:$Y$11)</f>
        <v>0.10526315789473684</v>
      </c>
      <c r="AI13" s="17"/>
      <c r="AJ13" s="15">
        <v>0</v>
      </c>
      <c r="AK13" s="3" t="s">
        <v>14</v>
      </c>
      <c r="AP13" s="18"/>
    </row>
    <row r="14" spans="1:42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4">
        <v>1</v>
      </c>
      <c r="G14" s="4"/>
      <c r="H14" s="1"/>
      <c r="I14" s="63"/>
      <c r="J14" s="1"/>
      <c r="K14" s="1"/>
      <c r="L14" s="1"/>
      <c r="M14" s="1"/>
      <c r="N14" s="1"/>
      <c r="O14" s="63"/>
      <c r="P14" s="1"/>
      <c r="Q14" s="1"/>
      <c r="R14" s="1"/>
      <c r="S14" s="1"/>
      <c r="T14" s="1"/>
      <c r="U14" s="63"/>
      <c r="V14" s="1"/>
      <c r="W14" s="1"/>
      <c r="X14" s="1"/>
      <c r="Y14" s="1"/>
      <c r="Z14" s="63"/>
      <c r="AA14" s="4" cm="1">
        <f t="array" ref="AA14">COUNTIF(D14:Y14,1)+COUNTIF(D14:Y14,_xleta.T)+COUNTIF(D14:Y14,U)+COUNTIF(D14:Y14,J)</f>
        <v>3</v>
      </c>
      <c r="AB14" s="4">
        <f t="shared" si="0"/>
        <v>0</v>
      </c>
      <c r="AC14" s="4">
        <f t="shared" si="1"/>
        <v>0</v>
      </c>
      <c r="AD14" s="4">
        <f t="shared" si="3"/>
        <v>0</v>
      </c>
      <c r="AE14" s="4">
        <f t="shared" si="2"/>
        <v>0</v>
      </c>
      <c r="AF14" s="10">
        <f t="shared" si="4"/>
        <v>0.15789473684210525</v>
      </c>
      <c r="AI14" s="17"/>
      <c r="AJ14" s="16" t="s">
        <v>11</v>
      </c>
      <c r="AK14" s="3" t="s">
        <v>12</v>
      </c>
      <c r="AP14" s="18"/>
    </row>
    <row r="15" spans="1:42" ht="15" thickBot="1" x14ac:dyDescent="0.35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4"/>
      <c r="G15" s="4"/>
      <c r="H15" s="4"/>
      <c r="I15" s="63"/>
      <c r="J15" s="4"/>
      <c r="K15" s="4"/>
      <c r="L15" s="4"/>
      <c r="M15" s="1"/>
      <c r="N15" s="1"/>
      <c r="O15" s="63"/>
      <c r="P15" s="1"/>
      <c r="Q15" s="1"/>
      <c r="R15" s="1"/>
      <c r="S15" s="1"/>
      <c r="T15" s="1"/>
      <c r="U15" s="63"/>
      <c r="V15" s="1"/>
      <c r="W15" s="1"/>
      <c r="X15" s="1"/>
      <c r="Y15" s="1"/>
      <c r="Z15" s="63"/>
      <c r="AA15" s="4" cm="1">
        <f t="array" ref="AA15">COUNTIF(D15:Y15,1)+COUNTIF(D15:Y15,_xleta.T)+COUNTIF(D15:Y15,U)+COUNTIF(D15:Y15,J)</f>
        <v>2</v>
      </c>
      <c r="AB15" s="4">
        <f t="shared" si="0"/>
        <v>0</v>
      </c>
      <c r="AC15" s="4">
        <f t="shared" si="1"/>
        <v>0</v>
      </c>
      <c r="AD15" s="4">
        <f t="shared" si="3"/>
        <v>0</v>
      </c>
      <c r="AE15" s="4">
        <f t="shared" si="2"/>
        <v>0</v>
      </c>
      <c r="AF15" s="10">
        <f t="shared" si="4"/>
        <v>0.10526315789473684</v>
      </c>
      <c r="AI15" s="19"/>
      <c r="AJ15" s="20" t="s">
        <v>6</v>
      </c>
      <c r="AK15" s="21" t="s">
        <v>13</v>
      </c>
      <c r="AL15" s="22"/>
      <c r="AM15" s="22"/>
      <c r="AN15" s="22"/>
      <c r="AO15" s="22"/>
      <c r="AP15" s="23"/>
    </row>
    <row r="16" spans="1:42" x14ac:dyDescent="0.3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4"/>
      <c r="G16" s="4"/>
      <c r="H16" s="4"/>
      <c r="I16" s="63"/>
      <c r="J16" s="4"/>
      <c r="K16" s="4"/>
      <c r="L16" s="4"/>
      <c r="M16" s="1"/>
      <c r="N16" s="1"/>
      <c r="O16" s="63"/>
      <c r="P16" s="1"/>
      <c r="Q16" s="1"/>
      <c r="R16" s="1"/>
      <c r="S16" s="1"/>
      <c r="T16" s="1"/>
      <c r="U16" s="63"/>
      <c r="V16" s="1"/>
      <c r="W16" s="1"/>
      <c r="X16" s="1"/>
      <c r="Y16" s="1"/>
      <c r="Z16" s="63"/>
      <c r="AA16" s="4" cm="1">
        <f t="array" ref="AA16">COUNTIF(D16:Y16,1)+COUNTIF(D16:Y16,_xleta.T)+COUNTIF(D16:Y16,U)+COUNTIF(D16:Y16,J)</f>
        <v>2</v>
      </c>
      <c r="AB16" s="4">
        <f t="shared" si="0"/>
        <v>0</v>
      </c>
      <c r="AC16" s="4">
        <f t="shared" si="1"/>
        <v>0</v>
      </c>
      <c r="AD16" s="4">
        <f t="shared" si="3"/>
        <v>0</v>
      </c>
      <c r="AE16" s="4">
        <f t="shared" si="2"/>
        <v>0</v>
      </c>
      <c r="AF16" s="10">
        <f t="shared" si="4"/>
        <v>0.10526315789473684</v>
      </c>
      <c r="AJ16" t="s">
        <v>50</v>
      </c>
      <c r="AK16" s="3" t="s">
        <v>51</v>
      </c>
    </row>
    <row r="17" spans="1:40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4"/>
      <c r="G17" s="4"/>
      <c r="H17" s="4"/>
      <c r="I17" s="63"/>
      <c r="J17" s="4"/>
      <c r="K17" s="4"/>
      <c r="L17" s="4"/>
      <c r="M17" s="1"/>
      <c r="N17" s="1"/>
      <c r="O17" s="63"/>
      <c r="P17" s="1"/>
      <c r="Q17" s="1"/>
      <c r="R17" s="1"/>
      <c r="S17" s="1"/>
      <c r="T17" s="1"/>
      <c r="U17" s="63"/>
      <c r="V17" s="1"/>
      <c r="W17" s="1"/>
      <c r="X17" s="1"/>
      <c r="Y17" s="1"/>
      <c r="Z17" s="63"/>
      <c r="AA17" s="4" cm="1">
        <f t="array" ref="AA17">COUNTIF(D17:Y17,1)+COUNTIF(D17:Y17,_xleta.T)+COUNTIF(D17:Y17,U)+COUNTIF(D17:Y17,J)</f>
        <v>2</v>
      </c>
      <c r="AB17" s="4">
        <f t="shared" si="0"/>
        <v>0</v>
      </c>
      <c r="AC17" s="4">
        <f t="shared" si="1"/>
        <v>0</v>
      </c>
      <c r="AD17" s="4">
        <f t="shared" si="3"/>
        <v>0</v>
      </c>
      <c r="AE17" s="4">
        <f t="shared" si="2"/>
        <v>0</v>
      </c>
      <c r="AF17" s="10">
        <f t="shared" si="4"/>
        <v>0.10526315789473684</v>
      </c>
    </row>
    <row r="18" spans="1:40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 t="s">
        <v>6</v>
      </c>
      <c r="E18" s="1" t="s">
        <v>6</v>
      </c>
      <c r="F18" s="4"/>
      <c r="G18" s="4"/>
      <c r="H18" s="4"/>
      <c r="I18" s="63"/>
      <c r="J18" s="4"/>
      <c r="K18" s="4"/>
      <c r="L18" s="4"/>
      <c r="M18" s="1"/>
      <c r="N18" s="1"/>
      <c r="O18" s="63"/>
      <c r="P18" s="1"/>
      <c r="Q18" s="1"/>
      <c r="R18" s="1"/>
      <c r="S18" s="1"/>
      <c r="T18" s="1"/>
      <c r="U18" s="63"/>
      <c r="V18" s="1"/>
      <c r="W18" s="1"/>
      <c r="X18" s="1"/>
      <c r="Y18" s="1"/>
      <c r="Z18" s="63"/>
      <c r="AA18" s="4" cm="1">
        <f t="array" ref="AA18">COUNTIF(D18:Y18,1)+COUNTIF(D18:Y18,_xleta.T)+COUNTIF(D18:Y18,U)+COUNTIF(D18:Y18,J)</f>
        <v>0</v>
      </c>
      <c r="AB18" s="4">
        <f t="shared" si="0"/>
        <v>0</v>
      </c>
      <c r="AC18" s="4">
        <f t="shared" si="1"/>
        <v>0</v>
      </c>
      <c r="AD18" s="4">
        <f t="shared" si="3"/>
        <v>0</v>
      </c>
      <c r="AE18" s="4">
        <f t="shared" si="2"/>
        <v>2</v>
      </c>
      <c r="AF18" s="10">
        <f t="shared" si="4"/>
        <v>0</v>
      </c>
      <c r="AK18" s="8"/>
      <c r="AM18" s="3"/>
      <c r="AN18" s="3"/>
    </row>
    <row r="19" spans="1:40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>
        <v>1</v>
      </c>
      <c r="E19" s="1">
        <v>1</v>
      </c>
      <c r="F19" s="4"/>
      <c r="G19" s="4"/>
      <c r="H19" s="4"/>
      <c r="I19" s="63"/>
      <c r="J19" s="4"/>
      <c r="K19" s="4"/>
      <c r="L19" s="4"/>
      <c r="M19" s="1"/>
      <c r="N19" s="1"/>
      <c r="O19" s="63"/>
      <c r="P19" s="1"/>
      <c r="Q19" s="1"/>
      <c r="R19" s="1"/>
      <c r="S19" s="1"/>
      <c r="T19" s="1"/>
      <c r="U19" s="63"/>
      <c r="V19" s="1"/>
      <c r="W19" s="1"/>
      <c r="X19" s="1"/>
      <c r="Y19" s="1"/>
      <c r="Z19" s="63"/>
      <c r="AA19" s="4" cm="1">
        <f t="array" ref="AA19">COUNTIF(D19:Y19,1)+COUNTIF(D19:Y19,_xleta.T)+COUNTIF(D19:Y19,U)+COUNTIF(D19:Y19,J)</f>
        <v>2</v>
      </c>
      <c r="AB19" s="4">
        <f t="shared" si="0"/>
        <v>0</v>
      </c>
      <c r="AC19" s="4">
        <f t="shared" si="1"/>
        <v>0</v>
      </c>
      <c r="AD19" s="4">
        <f t="shared" si="3"/>
        <v>0</v>
      </c>
      <c r="AE19" s="4">
        <f t="shared" si="2"/>
        <v>0</v>
      </c>
      <c r="AF19" s="10">
        <f t="shared" si="4"/>
        <v>0.10526315789473684</v>
      </c>
      <c r="AK19" s="8"/>
    </row>
    <row r="20" spans="1:40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4"/>
      <c r="G20" s="4"/>
      <c r="H20" s="4"/>
      <c r="I20" s="63"/>
      <c r="J20" s="4"/>
      <c r="K20" s="4"/>
      <c r="L20" s="4"/>
      <c r="M20" s="1"/>
      <c r="N20" s="1"/>
      <c r="O20" s="63"/>
      <c r="P20" s="1"/>
      <c r="Q20" s="1"/>
      <c r="R20" s="1"/>
      <c r="S20" s="1"/>
      <c r="T20" s="1"/>
      <c r="U20" s="63"/>
      <c r="V20" s="1"/>
      <c r="W20" s="1"/>
      <c r="X20" s="1"/>
      <c r="Y20" s="1"/>
      <c r="Z20" s="63"/>
      <c r="AA20" s="4" cm="1">
        <f t="array" ref="AA20">COUNTIF(D20:Y20,1)+COUNTIF(D20:Y20,_xleta.T)+COUNTIF(D20:Y20,U)+COUNTIF(D20:Y20,J)</f>
        <v>2</v>
      </c>
      <c r="AB20" s="4">
        <f t="shared" si="0"/>
        <v>0</v>
      </c>
      <c r="AC20" s="4">
        <f t="shared" si="1"/>
        <v>0</v>
      </c>
      <c r="AD20" s="4">
        <f t="shared" si="3"/>
        <v>0</v>
      </c>
      <c r="AE20" s="4">
        <f t="shared" si="2"/>
        <v>0</v>
      </c>
      <c r="AF20" s="10">
        <f t="shared" si="4"/>
        <v>0.10526315789473684</v>
      </c>
      <c r="AK20" s="8"/>
      <c r="AL20" s="3"/>
      <c r="AM20" s="3"/>
      <c r="AN20" s="3"/>
    </row>
    <row r="21" spans="1:40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4"/>
      <c r="G21" s="4"/>
      <c r="H21" s="4"/>
      <c r="I21" s="63"/>
      <c r="J21" s="4"/>
      <c r="K21" s="4"/>
      <c r="L21" s="4"/>
      <c r="M21" s="1"/>
      <c r="N21" s="1"/>
      <c r="O21" s="63"/>
      <c r="P21" s="1"/>
      <c r="Q21" s="1"/>
      <c r="R21" s="1"/>
      <c r="S21" s="1"/>
      <c r="T21" s="1"/>
      <c r="U21" s="63"/>
      <c r="V21" s="1"/>
      <c r="W21" s="1"/>
      <c r="X21" s="1"/>
      <c r="Y21" s="1"/>
      <c r="Z21" s="63"/>
      <c r="AA21" s="4" cm="1">
        <f t="array" ref="AA21">COUNTIF(D21:Y21,1)+COUNTIF(D21:Y21,_xleta.T)+COUNTIF(D21:Y21,U)+COUNTIF(D21:Y21,J)</f>
        <v>2</v>
      </c>
      <c r="AB21" s="4">
        <f t="shared" si="0"/>
        <v>0</v>
      </c>
      <c r="AC21" s="4">
        <f t="shared" si="1"/>
        <v>0</v>
      </c>
      <c r="AD21" s="4">
        <f t="shared" si="3"/>
        <v>0</v>
      </c>
      <c r="AE21" s="4">
        <f t="shared" si="2"/>
        <v>0</v>
      </c>
      <c r="AF21" s="10">
        <f t="shared" si="4"/>
        <v>0.10526315789473684</v>
      </c>
      <c r="AK21" s="7"/>
    </row>
    <row r="22" spans="1:40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4"/>
      <c r="G22" s="4"/>
      <c r="H22" s="4"/>
      <c r="I22" s="63"/>
      <c r="J22" s="4"/>
      <c r="K22" s="4"/>
      <c r="L22" s="4"/>
      <c r="M22" s="1"/>
      <c r="N22" s="1"/>
      <c r="O22" s="63"/>
      <c r="P22" s="1"/>
      <c r="Q22" s="1"/>
      <c r="R22" s="1"/>
      <c r="S22" s="1"/>
      <c r="T22" s="1"/>
      <c r="U22" s="63"/>
      <c r="V22" s="1"/>
      <c r="W22" s="1"/>
      <c r="X22" s="1"/>
      <c r="Y22" s="1"/>
      <c r="Z22" s="63"/>
      <c r="AA22" s="4" cm="1">
        <f t="array" ref="AA22">COUNTIF(D22:Y22,1)+COUNTIF(D22:Y22,_xleta.T)+COUNTIF(D22:Y22,U)+COUNTIF(D22:Y22,J)</f>
        <v>2</v>
      </c>
      <c r="AB22" s="4">
        <f t="shared" si="0"/>
        <v>0</v>
      </c>
      <c r="AC22" s="4">
        <f t="shared" si="1"/>
        <v>0</v>
      </c>
      <c r="AD22" s="4">
        <f t="shared" si="3"/>
        <v>0</v>
      </c>
      <c r="AE22" s="4">
        <f t="shared" si="2"/>
        <v>0</v>
      </c>
      <c r="AF22" s="10">
        <f t="shared" si="4"/>
        <v>0.10526315789473684</v>
      </c>
    </row>
    <row r="23" spans="1:40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4"/>
      <c r="G23" s="4"/>
      <c r="H23" s="4"/>
      <c r="I23" s="63"/>
      <c r="J23" s="4"/>
      <c r="K23" s="4"/>
      <c r="L23" s="4"/>
      <c r="M23" s="1"/>
      <c r="N23" s="1"/>
      <c r="O23" s="63"/>
      <c r="P23" s="1"/>
      <c r="Q23" s="1"/>
      <c r="R23" s="1"/>
      <c r="S23" s="1"/>
      <c r="T23" s="1"/>
      <c r="U23" s="63"/>
      <c r="V23" s="1"/>
      <c r="W23" s="1"/>
      <c r="X23" s="1"/>
      <c r="Y23" s="1"/>
      <c r="Z23" s="63"/>
      <c r="AA23" s="4" cm="1">
        <f t="array" ref="AA23">COUNTIF(D23:Y23,1)+COUNTIF(D23:Y23,_xleta.T)+COUNTIF(D23:Y23,U)+COUNTIF(D23:Y23,J)</f>
        <v>2</v>
      </c>
      <c r="AB23" s="4">
        <f t="shared" si="0"/>
        <v>0</v>
      </c>
      <c r="AC23" s="4">
        <f t="shared" si="1"/>
        <v>0</v>
      </c>
      <c r="AD23" s="4">
        <f t="shared" si="3"/>
        <v>0</v>
      </c>
      <c r="AE23" s="4">
        <f t="shared" si="2"/>
        <v>0</v>
      </c>
      <c r="AF23" s="10">
        <f t="shared" si="4"/>
        <v>0.10526315789473684</v>
      </c>
    </row>
    <row r="24" spans="1:40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 t="s">
        <v>6</v>
      </c>
      <c r="E24" s="1" t="s">
        <v>6</v>
      </c>
      <c r="F24" s="4"/>
      <c r="G24" s="4"/>
      <c r="H24" s="4"/>
      <c r="I24" s="63"/>
      <c r="J24" s="4"/>
      <c r="K24" s="4"/>
      <c r="L24" s="4"/>
      <c r="M24" s="4"/>
      <c r="N24" s="4"/>
      <c r="O24" s="63"/>
      <c r="P24" s="4"/>
      <c r="Q24" s="4"/>
      <c r="R24" s="4"/>
      <c r="S24" s="4"/>
      <c r="T24" s="4"/>
      <c r="U24" s="63"/>
      <c r="V24" s="4"/>
      <c r="W24" s="4"/>
      <c r="X24" s="4"/>
      <c r="Y24" s="4"/>
      <c r="Z24" s="63"/>
      <c r="AA24" s="4" cm="1">
        <f t="array" ref="AA24">COUNTIF(D24:Y24,1)+COUNTIF(D24:Y24,_xleta.T)+COUNTIF(D24:Y24,U)+COUNTIF(D24:Y24,J)</f>
        <v>0</v>
      </c>
      <c r="AB24" s="4">
        <f t="shared" si="0"/>
        <v>0</v>
      </c>
      <c r="AC24" s="4">
        <f t="shared" si="1"/>
        <v>0</v>
      </c>
      <c r="AD24" s="4">
        <f t="shared" si="3"/>
        <v>0</v>
      </c>
      <c r="AE24" s="4">
        <f t="shared" si="2"/>
        <v>2</v>
      </c>
      <c r="AF24" s="10">
        <f t="shared" si="4"/>
        <v>0</v>
      </c>
    </row>
    <row r="25" spans="1:40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4">
        <v>0</v>
      </c>
      <c r="E25" s="4">
        <v>1</v>
      </c>
      <c r="F25" s="4"/>
      <c r="G25" s="4"/>
      <c r="H25" s="4"/>
      <c r="I25" s="63"/>
      <c r="J25" s="4"/>
      <c r="K25" s="4"/>
      <c r="L25" s="4"/>
      <c r="M25" s="4"/>
      <c r="N25" s="4"/>
      <c r="O25" s="63"/>
      <c r="P25" s="4"/>
      <c r="Q25" s="4"/>
      <c r="R25" s="4"/>
      <c r="S25" s="4"/>
      <c r="T25" s="4"/>
      <c r="U25" s="63"/>
      <c r="V25" s="4"/>
      <c r="W25" s="4"/>
      <c r="X25" s="4"/>
      <c r="Y25" s="4"/>
      <c r="Z25" s="63"/>
      <c r="AA25" s="4" cm="1">
        <f t="array" ref="AA25">COUNTIF(D25:Y25,1)+COUNTIF(D25:Y25,_xleta.T)+COUNTIF(D25:Y25,U)+COUNTIF(D25:Y25,J)</f>
        <v>1</v>
      </c>
      <c r="AB25" s="4">
        <f t="shared" si="0"/>
        <v>1</v>
      </c>
      <c r="AC25" s="4">
        <f t="shared" si="1"/>
        <v>0</v>
      </c>
      <c r="AD25" s="4">
        <f t="shared" si="3"/>
        <v>0</v>
      </c>
      <c r="AE25" s="4">
        <f t="shared" si="2"/>
        <v>0</v>
      </c>
      <c r="AF25" s="10">
        <f t="shared" si="4"/>
        <v>5.2631578947368418E-2</v>
      </c>
    </row>
    <row r="26" spans="1:40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1</v>
      </c>
      <c r="E26" s="1">
        <v>1</v>
      </c>
      <c r="F26" s="4"/>
      <c r="G26" s="4"/>
      <c r="H26" s="4"/>
      <c r="I26" s="63"/>
      <c r="J26" s="4"/>
      <c r="K26" s="4"/>
      <c r="L26" s="4"/>
      <c r="M26" s="4"/>
      <c r="N26" s="4"/>
      <c r="O26" s="63"/>
      <c r="P26" s="4"/>
      <c r="Q26" s="4"/>
      <c r="R26" s="4"/>
      <c r="S26" s="4"/>
      <c r="T26" s="4"/>
      <c r="U26" s="63"/>
      <c r="V26" s="4"/>
      <c r="W26" s="4"/>
      <c r="X26" s="4"/>
      <c r="Y26" s="4"/>
      <c r="Z26" s="63"/>
      <c r="AA26" s="4" cm="1">
        <f t="array" ref="AA26">COUNTIF(D26:Y26,1)+COUNTIF(D26:Y26,_xleta.T)+COUNTIF(D26:Y26,U)+COUNTIF(D26:Y26,J)</f>
        <v>2</v>
      </c>
      <c r="AB26" s="4">
        <f t="shared" si="0"/>
        <v>0</v>
      </c>
      <c r="AC26" s="4">
        <f t="shared" si="1"/>
        <v>0</v>
      </c>
      <c r="AD26" s="4">
        <f t="shared" si="3"/>
        <v>0</v>
      </c>
      <c r="AE26" s="4">
        <f t="shared" si="2"/>
        <v>0</v>
      </c>
      <c r="AF26" s="10">
        <f t="shared" si="4"/>
        <v>0.10526315789473684</v>
      </c>
    </row>
    <row r="27" spans="1:40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0</v>
      </c>
      <c r="E27" s="1">
        <v>1</v>
      </c>
      <c r="F27" s="4"/>
      <c r="G27" s="4"/>
      <c r="H27" s="4"/>
      <c r="I27" s="63"/>
      <c r="J27" s="4"/>
      <c r="K27" s="4"/>
      <c r="L27" s="4"/>
      <c r="M27" s="4"/>
      <c r="N27" s="4"/>
      <c r="O27" s="63"/>
      <c r="P27" s="4"/>
      <c r="Q27" s="4"/>
      <c r="R27" s="4"/>
      <c r="S27" s="4"/>
      <c r="T27" s="4"/>
      <c r="U27" s="63"/>
      <c r="V27" s="4"/>
      <c r="W27" s="4"/>
      <c r="X27" s="4"/>
      <c r="Y27" s="4"/>
      <c r="Z27" s="63"/>
      <c r="AA27" s="4" cm="1">
        <f t="array" ref="AA27">COUNTIF(D27:Y27,1)+COUNTIF(D27:Y27,_xleta.T)+COUNTIF(D27:Y27,U)+COUNTIF(D27:Y27,J)</f>
        <v>1</v>
      </c>
      <c r="AB27" s="4">
        <f t="shared" si="0"/>
        <v>1</v>
      </c>
      <c r="AC27" s="4">
        <f t="shared" si="1"/>
        <v>0</v>
      </c>
      <c r="AD27" s="4">
        <f t="shared" si="3"/>
        <v>0</v>
      </c>
      <c r="AE27" s="4">
        <f t="shared" si="2"/>
        <v>0</v>
      </c>
      <c r="AF27" s="10">
        <f t="shared" si="4"/>
        <v>5.2631578947368418E-2</v>
      </c>
    </row>
    <row r="28" spans="1:40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4"/>
      <c r="G28" s="4"/>
      <c r="H28" s="4"/>
      <c r="I28" s="63"/>
      <c r="J28" s="4"/>
      <c r="K28" s="4"/>
      <c r="L28" s="4"/>
      <c r="M28" s="4"/>
      <c r="N28" s="4"/>
      <c r="O28" s="63"/>
      <c r="P28" s="4"/>
      <c r="Q28" s="4"/>
      <c r="R28" s="4"/>
      <c r="S28" s="4"/>
      <c r="T28" s="4"/>
      <c r="U28" s="63"/>
      <c r="V28" s="4"/>
      <c r="W28" s="4"/>
      <c r="X28" s="4"/>
      <c r="Y28" s="4"/>
      <c r="Z28" s="63"/>
      <c r="AA28" s="4" cm="1">
        <f t="array" ref="AA28">COUNTIF(D28:Y28,1)+COUNTIF(D28:Y28,_xleta.T)+COUNTIF(D28:Y28,U)+COUNTIF(D28:Y28,J)</f>
        <v>2</v>
      </c>
      <c r="AB28" s="4">
        <f t="shared" si="0"/>
        <v>0</v>
      </c>
      <c r="AC28" s="4">
        <f t="shared" si="1"/>
        <v>0</v>
      </c>
      <c r="AD28" s="4">
        <f t="shared" si="3"/>
        <v>0</v>
      </c>
      <c r="AE28" s="4">
        <f t="shared" si="2"/>
        <v>0</v>
      </c>
      <c r="AF28" s="10">
        <f t="shared" si="4"/>
        <v>0.10526315789473684</v>
      </c>
    </row>
    <row r="29" spans="1:40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4"/>
      <c r="G29" s="4"/>
      <c r="H29" s="4"/>
      <c r="I29" s="63"/>
      <c r="J29" s="4"/>
      <c r="K29" s="4"/>
      <c r="L29" s="4"/>
      <c r="M29" s="4"/>
      <c r="N29" s="4"/>
      <c r="O29" s="63"/>
      <c r="P29" s="4"/>
      <c r="Q29" s="4"/>
      <c r="R29" s="4"/>
      <c r="S29" s="4"/>
      <c r="T29" s="4"/>
      <c r="U29" s="63"/>
      <c r="V29" s="4"/>
      <c r="W29" s="4"/>
      <c r="X29" s="4"/>
      <c r="Y29" s="4"/>
      <c r="Z29" s="63"/>
      <c r="AA29" s="4" cm="1">
        <f t="array" ref="AA29">COUNTIF(D29:Y29,1)+COUNTIF(D29:Y29,_xleta.T)+COUNTIF(D29:Y29,U)+COUNTIF(D29:Y29,J)</f>
        <v>2</v>
      </c>
      <c r="AB29" s="4">
        <f t="shared" si="0"/>
        <v>0</v>
      </c>
      <c r="AC29" s="4">
        <f t="shared" si="1"/>
        <v>0</v>
      </c>
      <c r="AD29" s="4">
        <f t="shared" si="3"/>
        <v>0</v>
      </c>
      <c r="AE29" s="4">
        <f t="shared" si="2"/>
        <v>0</v>
      </c>
      <c r="AF29" s="10">
        <f t="shared" si="4"/>
        <v>0.10526315789473684</v>
      </c>
    </row>
    <row r="30" spans="1:40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4"/>
      <c r="G30" s="4"/>
      <c r="H30" s="4"/>
      <c r="I30" s="63"/>
      <c r="J30" s="4"/>
      <c r="K30" s="4"/>
      <c r="L30" s="4"/>
      <c r="M30" s="4"/>
      <c r="N30" s="4"/>
      <c r="O30" s="63"/>
      <c r="P30" s="4"/>
      <c r="Q30" s="4"/>
      <c r="R30" s="4"/>
      <c r="S30" s="4"/>
      <c r="T30" s="4"/>
      <c r="U30" s="63"/>
      <c r="V30" s="4"/>
      <c r="W30" s="4"/>
      <c r="X30" s="4"/>
      <c r="Y30" s="4"/>
      <c r="Z30" s="63"/>
      <c r="AA30" s="4" cm="1">
        <f t="array" ref="AA30">COUNTIF(D30:Y30,1)+COUNTIF(D30:Y30,_xleta.T)+COUNTIF(D30:Y30,U)+COUNTIF(D30:Y30,J)</f>
        <v>2</v>
      </c>
      <c r="AB30" s="4">
        <f t="shared" si="0"/>
        <v>0</v>
      </c>
      <c r="AC30" s="4">
        <f t="shared" si="1"/>
        <v>0</v>
      </c>
      <c r="AD30" s="4">
        <f t="shared" si="3"/>
        <v>0</v>
      </c>
      <c r="AE30" s="4">
        <f t="shared" si="2"/>
        <v>0</v>
      </c>
      <c r="AF30" s="10">
        <f t="shared" si="4"/>
        <v>0.10526315789473684</v>
      </c>
    </row>
    <row r="31" spans="1:40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4">
        <v>0</v>
      </c>
      <c r="F31" s="4"/>
      <c r="G31" s="4"/>
      <c r="H31" s="4"/>
      <c r="I31" s="63"/>
      <c r="J31" s="4"/>
      <c r="K31" s="4"/>
      <c r="L31" s="4"/>
      <c r="M31" s="4"/>
      <c r="N31" s="4"/>
      <c r="O31" s="63"/>
      <c r="P31" s="4"/>
      <c r="Q31" s="4"/>
      <c r="R31" s="4"/>
      <c r="S31" s="4"/>
      <c r="T31" s="4"/>
      <c r="U31" s="63"/>
      <c r="V31" s="4"/>
      <c r="W31" s="4"/>
      <c r="X31" s="4"/>
      <c r="Y31" s="4"/>
      <c r="Z31" s="63"/>
      <c r="AA31" s="4" cm="1">
        <f t="array" ref="AA31">COUNTIF(D31:Y31,1)+COUNTIF(D31:Y31,_xleta.T)+COUNTIF(D31:Y31,U)+COUNTIF(D31:Y31,J)</f>
        <v>1</v>
      </c>
      <c r="AB31" s="4">
        <f t="shared" si="0"/>
        <v>1</v>
      </c>
      <c r="AC31" s="4">
        <f t="shared" si="1"/>
        <v>0</v>
      </c>
      <c r="AD31" s="4">
        <f t="shared" si="3"/>
        <v>0</v>
      </c>
      <c r="AE31" s="4">
        <f t="shared" si="2"/>
        <v>0</v>
      </c>
      <c r="AF31" s="10">
        <f t="shared" si="4"/>
        <v>5.2631578947368418E-2</v>
      </c>
    </row>
    <row r="32" spans="1:40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1</v>
      </c>
      <c r="E32" s="1">
        <v>1</v>
      </c>
      <c r="F32" s="4"/>
      <c r="G32" s="4"/>
      <c r="H32" s="4"/>
      <c r="I32" s="63"/>
      <c r="J32" s="4"/>
      <c r="K32" s="4"/>
      <c r="L32" s="4"/>
      <c r="M32" s="4"/>
      <c r="N32" s="4"/>
      <c r="O32" s="63"/>
      <c r="P32" s="4"/>
      <c r="Q32" s="4"/>
      <c r="R32" s="4"/>
      <c r="S32" s="4"/>
      <c r="T32" s="4"/>
      <c r="U32" s="63"/>
      <c r="V32" s="4"/>
      <c r="W32" s="4"/>
      <c r="X32" s="4"/>
      <c r="Y32" s="4"/>
      <c r="Z32" s="63"/>
      <c r="AA32" s="4" cm="1">
        <f t="array" ref="AA32">COUNTIF(D32:Y32,1)+COUNTIF(D32:Y32,_xleta.T)+COUNTIF(D32:Y32,U)+COUNTIF(D32:Y32,J)</f>
        <v>2</v>
      </c>
      <c r="AB32" s="4">
        <f t="shared" si="0"/>
        <v>0</v>
      </c>
      <c r="AC32" s="4">
        <f t="shared" si="1"/>
        <v>0</v>
      </c>
      <c r="AD32" s="4">
        <f t="shared" si="3"/>
        <v>0</v>
      </c>
      <c r="AE32" s="4">
        <f t="shared" si="2"/>
        <v>0</v>
      </c>
      <c r="AF32" s="10">
        <f t="shared" si="4"/>
        <v>0.10526315789473684</v>
      </c>
    </row>
    <row r="33" spans="1:32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0</v>
      </c>
      <c r="E33" s="1">
        <v>1</v>
      </c>
      <c r="F33" s="4"/>
      <c r="G33" s="4"/>
      <c r="H33" s="4"/>
      <c r="I33" s="63"/>
      <c r="J33" s="4"/>
      <c r="K33" s="4"/>
      <c r="L33" s="4"/>
      <c r="M33" s="4"/>
      <c r="N33" s="4"/>
      <c r="O33" s="63"/>
      <c r="P33" s="4"/>
      <c r="Q33" s="4"/>
      <c r="R33" s="4"/>
      <c r="S33" s="4"/>
      <c r="T33" s="4"/>
      <c r="U33" s="63"/>
      <c r="V33" s="4"/>
      <c r="W33" s="4"/>
      <c r="X33" s="4"/>
      <c r="Y33" s="4"/>
      <c r="Z33" s="63"/>
      <c r="AA33" s="4" cm="1">
        <f t="array" ref="AA33">COUNTIF(D33:Y33,1)+COUNTIF(D33:Y33,_xleta.T)+COUNTIF(D33:Y33,U)+COUNTIF(D33:Y33,J)</f>
        <v>1</v>
      </c>
      <c r="AB33" s="4">
        <f t="shared" si="0"/>
        <v>1</v>
      </c>
      <c r="AC33" s="4">
        <f t="shared" si="1"/>
        <v>0</v>
      </c>
      <c r="AD33" s="4">
        <f t="shared" si="3"/>
        <v>0</v>
      </c>
      <c r="AE33" s="4">
        <f t="shared" si="2"/>
        <v>0</v>
      </c>
      <c r="AF33" s="10">
        <f t="shared" si="4"/>
        <v>5.2631578947368418E-2</v>
      </c>
    </row>
    <row r="34" spans="1:32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4"/>
      <c r="G34" s="4"/>
      <c r="H34" s="4"/>
      <c r="I34" s="63"/>
      <c r="J34" s="4"/>
      <c r="K34" s="4"/>
      <c r="L34" s="4"/>
      <c r="M34" s="4"/>
      <c r="N34" s="4"/>
      <c r="O34" s="63"/>
      <c r="P34" s="4"/>
      <c r="Q34" s="4"/>
      <c r="R34" s="4"/>
      <c r="S34" s="4"/>
      <c r="T34" s="4"/>
      <c r="U34" s="63"/>
      <c r="V34" s="4"/>
      <c r="W34" s="4"/>
      <c r="X34" s="4"/>
      <c r="Y34" s="4"/>
      <c r="Z34" s="63"/>
      <c r="AA34" s="4" cm="1">
        <f t="array" ref="AA34">COUNTIF(D34:Y34,1)+COUNTIF(D34:Y34,_xleta.T)+COUNTIF(D34:Y34,U)+COUNTIF(D34:Y34,J)</f>
        <v>2</v>
      </c>
      <c r="AB34" s="4">
        <f t="shared" si="0"/>
        <v>0</v>
      </c>
      <c r="AC34" s="4">
        <f t="shared" si="1"/>
        <v>0</v>
      </c>
      <c r="AD34" s="4">
        <f t="shared" si="3"/>
        <v>0</v>
      </c>
      <c r="AE34" s="4">
        <f t="shared" si="2"/>
        <v>0</v>
      </c>
      <c r="AF34" s="10">
        <f t="shared" si="4"/>
        <v>0.10526315789473684</v>
      </c>
    </row>
    <row r="35" spans="1:32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4"/>
      <c r="G35" s="4"/>
      <c r="H35" s="4"/>
      <c r="I35" s="63"/>
      <c r="J35" s="4"/>
      <c r="K35" s="4"/>
      <c r="L35" s="4"/>
      <c r="M35" s="4"/>
      <c r="N35" s="4"/>
      <c r="O35" s="63"/>
      <c r="P35" s="4"/>
      <c r="Q35" s="4"/>
      <c r="R35" s="4"/>
      <c r="S35" s="4"/>
      <c r="T35" s="4"/>
      <c r="U35" s="63"/>
      <c r="V35" s="4"/>
      <c r="W35" s="4"/>
      <c r="X35" s="4"/>
      <c r="Y35" s="4"/>
      <c r="Z35" s="63"/>
      <c r="AA35" s="4" cm="1">
        <f t="array" ref="AA35">COUNTIF(D35:Y35,1)+COUNTIF(D35:Y35,_xleta.T)+COUNTIF(D35:Y35,U)+COUNTIF(D35:Y35,J)</f>
        <v>2</v>
      </c>
      <c r="AB35" s="4">
        <f t="shared" si="0"/>
        <v>0</v>
      </c>
      <c r="AC35" s="4">
        <f t="shared" si="1"/>
        <v>0</v>
      </c>
      <c r="AD35" s="4">
        <f t="shared" si="3"/>
        <v>0</v>
      </c>
      <c r="AE35" s="4">
        <f t="shared" si="2"/>
        <v>0</v>
      </c>
      <c r="AF35" s="10">
        <f t="shared" si="4"/>
        <v>0.10526315789473684</v>
      </c>
    </row>
    <row r="36" spans="1:32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4"/>
      <c r="G36" s="4"/>
      <c r="H36" s="4"/>
      <c r="I36" s="63"/>
      <c r="J36" s="4"/>
      <c r="K36" s="4"/>
      <c r="L36" s="4"/>
      <c r="M36" s="4"/>
      <c r="N36" s="4"/>
      <c r="O36" s="63"/>
      <c r="P36" s="4"/>
      <c r="Q36" s="4"/>
      <c r="R36" s="4"/>
      <c r="S36" s="4"/>
      <c r="T36" s="4"/>
      <c r="U36" s="63"/>
      <c r="V36" s="4"/>
      <c r="W36" s="4"/>
      <c r="X36" s="4"/>
      <c r="Y36" s="4"/>
      <c r="Z36" s="63"/>
      <c r="AA36" s="4" cm="1">
        <f t="array" ref="AA36">COUNTIF(D36:Y36,1)+COUNTIF(D36:Y36,_xleta.T)+COUNTIF(D36:Y36,U)+COUNTIF(D36:Y36,J)</f>
        <v>2</v>
      </c>
      <c r="AB36" s="4">
        <f t="shared" si="0"/>
        <v>0</v>
      </c>
      <c r="AC36" s="4">
        <f t="shared" si="1"/>
        <v>0</v>
      </c>
      <c r="AD36" s="4">
        <f t="shared" si="3"/>
        <v>0</v>
      </c>
      <c r="AE36" s="4">
        <f t="shared" si="2"/>
        <v>0</v>
      </c>
      <c r="AF36" s="10">
        <f t="shared" si="4"/>
        <v>0.10526315789473684</v>
      </c>
    </row>
    <row r="37" spans="1:32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>
        <v>1</v>
      </c>
      <c r="E37" s="1">
        <v>1</v>
      </c>
      <c r="F37" s="4"/>
      <c r="G37" s="4"/>
      <c r="H37" s="4"/>
      <c r="I37" s="63"/>
      <c r="J37" s="4"/>
      <c r="K37" s="4"/>
      <c r="L37" s="4"/>
      <c r="M37" s="4"/>
      <c r="N37" s="4"/>
      <c r="O37" s="63"/>
      <c r="P37" s="4"/>
      <c r="Q37" s="4"/>
      <c r="R37" s="4"/>
      <c r="S37" s="4"/>
      <c r="T37" s="4"/>
      <c r="U37" s="63"/>
      <c r="V37" s="4"/>
      <c r="W37" s="4"/>
      <c r="X37" s="4"/>
      <c r="Y37" s="4"/>
      <c r="Z37" s="63"/>
      <c r="AA37" s="4" cm="1">
        <f t="array" ref="AA37">COUNTIF(D37:Y37,1)+COUNTIF(D37:Y37,_xleta.T)+COUNTIF(D37:Y37,U)+COUNTIF(D37:Y37,J)</f>
        <v>2</v>
      </c>
      <c r="AB37" s="4">
        <f t="shared" ref="AB37:AB40" si="5">COUNTIF(D37:Y37,0)</f>
        <v>0</v>
      </c>
      <c r="AC37" s="4">
        <f t="shared" ref="AC37:AC40" si="6">COUNTIF(D37:Y37,"T")</f>
        <v>0</v>
      </c>
      <c r="AD37" s="4">
        <f t="shared" ref="AD37:AD40" si="7">COUNTIF(D37:Y37,"U")</f>
        <v>0</v>
      </c>
      <c r="AE37" s="4">
        <f t="shared" ref="AE37:AE40" si="8">COUNTIF(D37:Y37,"J")</f>
        <v>0</v>
      </c>
      <c r="AF37" s="10">
        <f t="shared" ref="AF37:AF40" si="9">SUM(AA37)/COUNTA($D$11:$H$11,$J$11:$N$11,$P$11:$T$11,$V$11:$Y$11)</f>
        <v>0.10526315789473684</v>
      </c>
    </row>
    <row r="38" spans="1:32" x14ac:dyDescent="0.3">
      <c r="A38" s="51">
        <v>27</v>
      </c>
      <c r="B38" s="9">
        <v>10</v>
      </c>
      <c r="C38" s="12" t="s">
        <v>56</v>
      </c>
      <c r="D38" s="1">
        <v>1</v>
      </c>
      <c r="E38" s="1">
        <v>1</v>
      </c>
      <c r="F38" s="4"/>
      <c r="G38" s="4"/>
      <c r="H38" s="4"/>
      <c r="I38" s="63"/>
      <c r="J38" s="4"/>
      <c r="K38" s="4"/>
      <c r="L38" s="4"/>
      <c r="M38" s="4"/>
      <c r="N38" s="4"/>
      <c r="O38" s="63"/>
      <c r="P38" s="4"/>
      <c r="Q38" s="4"/>
      <c r="R38" s="4"/>
      <c r="S38" s="4"/>
      <c r="T38" s="4"/>
      <c r="U38" s="63"/>
      <c r="V38" s="4"/>
      <c r="W38" s="4"/>
      <c r="X38" s="4"/>
      <c r="Y38" s="4"/>
      <c r="Z38" s="63"/>
      <c r="AA38" s="4" cm="1">
        <f t="array" ref="AA38">COUNTIF(D38:Y38,1)+COUNTIF(D38:Y38,_xleta.T)+COUNTIF(D38:Y38,U)+COUNTIF(D38:Y38,J)</f>
        <v>2</v>
      </c>
      <c r="AB38" s="4">
        <f t="shared" si="5"/>
        <v>0</v>
      </c>
      <c r="AC38" s="4">
        <f t="shared" si="6"/>
        <v>0</v>
      </c>
      <c r="AD38" s="4">
        <f t="shared" si="7"/>
        <v>0</v>
      </c>
      <c r="AE38" s="4">
        <f t="shared" si="8"/>
        <v>0</v>
      </c>
      <c r="AF38" s="10">
        <f t="shared" si="9"/>
        <v>0.10526315789473684</v>
      </c>
    </row>
    <row r="39" spans="1:32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4"/>
      <c r="G39" s="4"/>
      <c r="H39" s="4"/>
      <c r="I39" s="63"/>
      <c r="J39" s="4"/>
      <c r="K39" s="4"/>
      <c r="L39" s="4"/>
      <c r="M39" s="4"/>
      <c r="N39" s="4"/>
      <c r="O39" s="63"/>
      <c r="P39" s="4"/>
      <c r="Q39" s="4"/>
      <c r="R39" s="4"/>
      <c r="S39" s="4"/>
      <c r="T39" s="4"/>
      <c r="U39" s="63"/>
      <c r="V39" s="4"/>
      <c r="W39" s="4"/>
      <c r="X39" s="4"/>
      <c r="Y39" s="4"/>
      <c r="Z39" s="63"/>
      <c r="AA39" s="4" cm="1">
        <f t="array" ref="AA39">COUNTIF(D39:Y39,1)+COUNTIF(D39:Y39,_xleta.T)+COUNTIF(D39:Y39,U)+COUNTIF(D39:Y39,J)</f>
        <v>2</v>
      </c>
      <c r="AB39" s="4">
        <f t="shared" si="5"/>
        <v>0</v>
      </c>
      <c r="AC39" s="4">
        <f t="shared" si="6"/>
        <v>0</v>
      </c>
      <c r="AD39" s="4">
        <f t="shared" si="7"/>
        <v>0</v>
      </c>
      <c r="AE39" s="4">
        <f t="shared" si="8"/>
        <v>0</v>
      </c>
      <c r="AF39" s="10">
        <f t="shared" si="9"/>
        <v>0.10526315789473684</v>
      </c>
    </row>
    <row r="40" spans="1:32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4"/>
      <c r="G40" s="4"/>
      <c r="H40" s="4"/>
      <c r="I40" s="63"/>
      <c r="J40" s="4"/>
      <c r="K40" s="4"/>
      <c r="L40" s="4"/>
      <c r="M40" s="4"/>
      <c r="N40" s="4"/>
      <c r="O40" s="63"/>
      <c r="P40" s="4"/>
      <c r="Q40" s="4"/>
      <c r="R40" s="4"/>
      <c r="S40" s="4"/>
      <c r="T40" s="4"/>
      <c r="U40" s="63"/>
      <c r="V40" s="4"/>
      <c r="W40" s="4"/>
      <c r="X40" s="4"/>
      <c r="Y40" s="4"/>
      <c r="Z40" s="63"/>
      <c r="AA40" s="4" cm="1">
        <f t="array" ref="AA40">COUNTIF(D40:Y40,1)+COUNTIF(D40:Y40,_xleta.T)+COUNTIF(D40:Y40,U)+COUNTIF(D40:Y40,J)</f>
        <v>2</v>
      </c>
      <c r="AB40" s="4">
        <f t="shared" si="5"/>
        <v>0</v>
      </c>
      <c r="AC40" s="4">
        <f t="shared" si="6"/>
        <v>0</v>
      </c>
      <c r="AD40" s="4">
        <f t="shared" si="7"/>
        <v>0</v>
      </c>
      <c r="AE40" s="4">
        <f t="shared" si="8"/>
        <v>0</v>
      </c>
      <c r="AF40" s="10">
        <f t="shared" si="9"/>
        <v>0.10526315789473684</v>
      </c>
    </row>
  </sheetData>
  <mergeCells count="25">
    <mergeCell ref="AE1:AF7"/>
    <mergeCell ref="Y9:AF9"/>
    <mergeCell ref="A8:AF8"/>
    <mergeCell ref="AC10:AF10"/>
    <mergeCell ref="A1:B7"/>
    <mergeCell ref="C1:AC1"/>
    <mergeCell ref="A10:B10"/>
    <mergeCell ref="A9:B9"/>
    <mergeCell ref="C9:G9"/>
    <mergeCell ref="H9:J9"/>
    <mergeCell ref="K9:S9"/>
    <mergeCell ref="AA2:AC3"/>
    <mergeCell ref="AA4:AC5"/>
    <mergeCell ref="AA6:AC7"/>
    <mergeCell ref="C7:Z7"/>
    <mergeCell ref="C2:Z6"/>
    <mergeCell ref="C10:J10"/>
    <mergeCell ref="K10:S10"/>
    <mergeCell ref="T10:Z10"/>
    <mergeCell ref="AA10:AB10"/>
    <mergeCell ref="AI11:AP11"/>
    <mergeCell ref="I11:I40"/>
    <mergeCell ref="O11:O40"/>
    <mergeCell ref="U11:U40"/>
    <mergeCell ref="Z11:Z40"/>
  </mergeCells>
  <conditionalFormatting sqref="D11:Y11 D12:H40 J12:N40 P12:T40 V12:Y40">
    <cfRule type="cellIs" dxfId="909" priority="1" stopIfTrue="1" operator="equal">
      <formula>"T"</formula>
    </cfRule>
  </conditionalFormatting>
  <conditionalFormatting sqref="G17">
    <cfRule type="cellIs" dxfId="908" priority="4" operator="equal">
      <formula>"T, t"</formula>
    </cfRule>
  </conditionalFormatting>
  <conditionalFormatting sqref="I11 J12:N23 P12:T23 V12:Y23 E13:H23 Z11">
    <cfRule type="cellIs" dxfId="907" priority="6" operator="equal">
      <formula>"T"</formula>
    </cfRule>
  </conditionalFormatting>
  <conditionalFormatting sqref="J16:K23">
    <cfRule type="cellIs" dxfId="906" priority="7" stopIfTrue="1" operator="equal">
      <formula>"J"</formula>
    </cfRule>
  </conditionalFormatting>
  <conditionalFormatting sqref="J12:N40 V12:Y40 I11 D12:H40 P12:T40">
    <cfRule type="cellIs" dxfId="905" priority="99" operator="equal">
      <formula>"J"</formula>
    </cfRule>
  </conditionalFormatting>
  <conditionalFormatting sqref="Y12">
    <cfRule type="cellIs" dxfId="904" priority="3" operator="equal">
      <formula>"J"</formula>
    </cfRule>
  </conditionalFormatting>
  <dataValidations count="1">
    <dataValidation type="list" allowBlank="1" showInputMessage="1" showErrorMessage="1" sqref="V12:Y40 P12:T40 J12:N40 D12:H40" xr:uid="{3B648C8C-9292-4475-AED6-D4AB21E6C745}">
      <formula1>$AJ$12:$AJ$16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FE05F814-C951-463B-B42D-D134A19BD8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J12:N40 P12:T40 V12:Y40 D12:H40</xm:sqref>
        </x14:conditionalFormatting>
        <x14:conditionalFormatting xmlns:xm="http://schemas.microsoft.com/office/excel/2006/main">
          <x14:cfRule type="iconSet" priority="79" id="{C741B467-09E1-49C6-A82C-3E379CA852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J15:L23 H15:H23 E13:E15 D41:Z63 J24:N40 P24:T40 V24:Y40 D24:H40</xm:sqref>
        </x14:conditionalFormatting>
        <x14:conditionalFormatting xmlns:xm="http://schemas.microsoft.com/office/excel/2006/main">
          <x14:cfRule type="iconSet" priority="10" id="{CAFD58E2-3A8B-4B07-A2DD-145309E057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Y13:Y23 E16:H23 E13:H13 E14:E15 G15:H15 H14 I11 J13:L23 J12:N12 P12:T12 V12:Y12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3B47-9AF4-445C-ADFB-4A0173E7C989}">
  <sheetPr codeName="Hoja4"/>
  <dimension ref="A1:AO40"/>
  <sheetViews>
    <sheetView topLeftCell="A12" zoomScale="90" zoomScaleNormal="90" workbookViewId="0">
      <selection activeCell="F26" sqref="F2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63"/>
      <c r="B1" s="70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0"/>
      <c r="AE1" s="70"/>
    </row>
    <row r="2" spans="1:41" x14ac:dyDescent="0.3">
      <c r="A2" s="63"/>
      <c r="B2" s="74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63"/>
      <c r="AE2" s="74"/>
    </row>
    <row r="3" spans="1:41" x14ac:dyDescent="0.3">
      <c r="A3" s="63"/>
      <c r="B3" s="74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63"/>
      <c r="AE3" s="74"/>
    </row>
    <row r="4" spans="1:41" x14ac:dyDescent="0.3">
      <c r="A4" s="63"/>
      <c r="B4" s="74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63"/>
      <c r="AE4" s="74"/>
    </row>
    <row r="5" spans="1:41" x14ac:dyDescent="0.3">
      <c r="A5" s="63"/>
      <c r="B5" s="74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63"/>
      <c r="AE5" s="74"/>
    </row>
    <row r="6" spans="1:41" x14ac:dyDescent="0.3">
      <c r="A6" s="63"/>
      <c r="B6" s="7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63"/>
      <c r="AE6" s="74"/>
    </row>
    <row r="7" spans="1:41" x14ac:dyDescent="0.3">
      <c r="A7" s="63"/>
      <c r="B7" s="74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63"/>
      <c r="AE7" s="74"/>
    </row>
    <row r="8" spans="1:41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7"/>
    </row>
    <row r="9" spans="1:41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9"/>
      <c r="Z9" s="56"/>
      <c r="AA9" s="56"/>
      <c r="AB9" s="56"/>
      <c r="AC9" s="56"/>
      <c r="AD9" s="56"/>
      <c r="AE9" s="75"/>
    </row>
    <row r="10" spans="1:41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9"/>
      <c r="AD10" s="56"/>
      <c r="AE10" s="75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6</v>
      </c>
      <c r="E11" s="1">
        <v>7</v>
      </c>
      <c r="F11" s="1">
        <v>8</v>
      </c>
      <c r="G11" s="1">
        <v>9</v>
      </c>
      <c r="H11" s="1">
        <v>10</v>
      </c>
      <c r="I11" s="60"/>
      <c r="J11" s="1">
        <v>13</v>
      </c>
      <c r="K11" s="1">
        <v>14</v>
      </c>
      <c r="L11" s="1">
        <v>15</v>
      </c>
      <c r="M11" s="1">
        <v>16</v>
      </c>
      <c r="N11" s="1">
        <v>17</v>
      </c>
      <c r="O11" s="65"/>
      <c r="P11" s="1">
        <v>20</v>
      </c>
      <c r="Q11" s="1">
        <v>21</v>
      </c>
      <c r="R11" s="1">
        <v>22</v>
      </c>
      <c r="S11" s="1">
        <v>23</v>
      </c>
      <c r="T11" s="1">
        <v>24</v>
      </c>
      <c r="U11" s="65"/>
      <c r="V11" s="1">
        <v>27</v>
      </c>
      <c r="W11" s="1">
        <v>28</v>
      </c>
      <c r="X11" s="1">
        <v>29</v>
      </c>
      <c r="Y11" s="1">
        <v>30</v>
      </c>
      <c r="Z11" s="65"/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71" t="s">
        <v>9</v>
      </c>
      <c r="AI11" s="72"/>
      <c r="AJ11" s="72"/>
      <c r="AK11" s="72"/>
      <c r="AL11" s="72"/>
      <c r="AM11" s="72"/>
      <c r="AN11" s="72"/>
      <c r="AO11" s="73"/>
    </row>
    <row r="12" spans="1:41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63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66"/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66"/>
      <c r="V12" s="1">
        <v>1</v>
      </c>
      <c r="W12" s="1">
        <v>1</v>
      </c>
      <c r="X12" s="1">
        <v>1</v>
      </c>
      <c r="Y12" s="1">
        <v>1</v>
      </c>
      <c r="Z12" s="66"/>
      <c r="AA12" s="4">
        <f t="shared" ref="AA12:AA36" si="0">COUNTIF(D12:Y12,1)</f>
        <v>19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1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63"/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66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66"/>
      <c r="V13" s="1">
        <v>0</v>
      </c>
      <c r="W13" s="1">
        <v>0</v>
      </c>
      <c r="X13" s="1">
        <v>0</v>
      </c>
      <c r="Y13" s="1">
        <v>0</v>
      </c>
      <c r="Z13" s="66"/>
      <c r="AA13" s="4">
        <f t="shared" si="0"/>
        <v>0</v>
      </c>
      <c r="AB13" s="4">
        <f t="shared" si="1"/>
        <v>19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0</v>
      </c>
      <c r="AH13" s="17"/>
      <c r="AI13" s="15">
        <v>0</v>
      </c>
      <c r="AJ13" s="3" t="s">
        <v>14</v>
      </c>
      <c r="AO13" s="18"/>
    </row>
    <row r="14" spans="1:41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63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66"/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66"/>
      <c r="V14" s="1">
        <v>1</v>
      </c>
      <c r="W14" s="1">
        <v>1</v>
      </c>
      <c r="X14" s="1">
        <v>1</v>
      </c>
      <c r="Y14" s="1">
        <v>1</v>
      </c>
      <c r="Z14" s="66"/>
      <c r="AA14" s="4">
        <f t="shared" si="0"/>
        <v>19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1</v>
      </c>
      <c r="AH14" s="17"/>
      <c r="AI14" s="16" t="s">
        <v>11</v>
      </c>
      <c r="AJ14" s="3" t="s">
        <v>12</v>
      </c>
      <c r="AO14" s="18"/>
    </row>
    <row r="15" spans="1:41" ht="15" thickBot="1" x14ac:dyDescent="0.35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63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66"/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66"/>
      <c r="V15" s="1">
        <v>1</v>
      </c>
      <c r="W15" s="1">
        <v>1</v>
      </c>
      <c r="X15" s="1">
        <v>1</v>
      </c>
      <c r="Y15" s="1">
        <v>1</v>
      </c>
      <c r="Z15" s="66"/>
      <c r="AA15" s="4">
        <f t="shared" si="0"/>
        <v>19</v>
      </c>
      <c r="AB15" s="4">
        <f t="shared" si="1"/>
        <v>0</v>
      </c>
      <c r="AC15" s="4">
        <f t="shared" si="2"/>
        <v>0</v>
      </c>
      <c r="AD15" s="4">
        <f t="shared" si="3"/>
        <v>0</v>
      </c>
      <c r="AE15" s="10">
        <f t="shared" si="4"/>
        <v>1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x14ac:dyDescent="0.3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63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66"/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66"/>
      <c r="V16" s="1">
        <v>1</v>
      </c>
      <c r="W16" s="1">
        <v>1</v>
      </c>
      <c r="X16" s="1">
        <v>1</v>
      </c>
      <c r="Y16" s="1">
        <v>1</v>
      </c>
      <c r="Z16" s="66"/>
      <c r="AA16" s="4">
        <f t="shared" si="0"/>
        <v>19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1</v>
      </c>
    </row>
    <row r="17" spans="1:39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63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66"/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66"/>
      <c r="V17" s="1">
        <v>1</v>
      </c>
      <c r="W17" s="1">
        <v>1</v>
      </c>
      <c r="X17" s="1">
        <v>1</v>
      </c>
      <c r="Y17" s="1">
        <v>1</v>
      </c>
      <c r="Z17" s="66"/>
      <c r="AA17" s="4">
        <f t="shared" si="0"/>
        <v>19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1</v>
      </c>
    </row>
    <row r="18" spans="1:39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63"/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66"/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66"/>
      <c r="V18" s="1">
        <v>1</v>
      </c>
      <c r="W18" s="1">
        <v>1</v>
      </c>
      <c r="X18" s="1">
        <v>1</v>
      </c>
      <c r="Y18" s="1">
        <v>1</v>
      </c>
      <c r="Z18" s="66"/>
      <c r="AA18" s="4">
        <f t="shared" si="0"/>
        <v>19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1</v>
      </c>
      <c r="AJ18" s="8"/>
      <c r="AL18" s="3"/>
      <c r="AM18" s="3"/>
    </row>
    <row r="19" spans="1:39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63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66"/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66"/>
      <c r="V19" s="1">
        <v>1</v>
      </c>
      <c r="W19" s="1">
        <v>1</v>
      </c>
      <c r="X19" s="1">
        <v>1</v>
      </c>
      <c r="Y19" s="1">
        <v>1</v>
      </c>
      <c r="Z19" s="66"/>
      <c r="AA19" s="4">
        <f t="shared" si="0"/>
        <v>19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1</v>
      </c>
      <c r="AJ19" s="8"/>
    </row>
    <row r="20" spans="1:39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63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66"/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66"/>
      <c r="V20" s="1">
        <v>1</v>
      </c>
      <c r="W20" s="1">
        <v>1</v>
      </c>
      <c r="X20" s="1">
        <v>1</v>
      </c>
      <c r="Y20" s="1">
        <v>1</v>
      </c>
      <c r="Z20" s="66"/>
      <c r="AA20" s="4">
        <f t="shared" si="0"/>
        <v>19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1</v>
      </c>
      <c r="AJ20" s="8"/>
      <c r="AK20" s="3"/>
      <c r="AL20" s="3"/>
      <c r="AM20" s="3"/>
    </row>
    <row r="21" spans="1:39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63"/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66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66"/>
      <c r="V21" s="1">
        <v>1</v>
      </c>
      <c r="W21" s="1">
        <v>1</v>
      </c>
      <c r="X21" s="1">
        <v>1</v>
      </c>
      <c r="Y21" s="1">
        <v>1</v>
      </c>
      <c r="Z21" s="66"/>
      <c r="AA21" s="4">
        <f t="shared" si="0"/>
        <v>19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1</v>
      </c>
      <c r="AJ21" s="7"/>
    </row>
    <row r="22" spans="1:39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63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66"/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66"/>
      <c r="V22" s="1">
        <v>1</v>
      </c>
      <c r="W22" s="1">
        <v>1</v>
      </c>
      <c r="X22" s="1">
        <v>1</v>
      </c>
      <c r="Y22" s="1">
        <v>1</v>
      </c>
      <c r="Z22" s="66"/>
      <c r="AA22" s="4">
        <f t="shared" si="0"/>
        <v>19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1</v>
      </c>
    </row>
    <row r="23" spans="1:39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63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66"/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66"/>
      <c r="V23" s="1">
        <v>1</v>
      </c>
      <c r="W23" s="1">
        <v>1</v>
      </c>
      <c r="X23" s="1">
        <v>1</v>
      </c>
      <c r="Y23" s="1">
        <v>1</v>
      </c>
      <c r="Z23" s="66"/>
      <c r="AA23" s="4">
        <f t="shared" si="0"/>
        <v>19</v>
      </c>
      <c r="AB23" s="4">
        <f t="shared" si="1"/>
        <v>0</v>
      </c>
      <c r="AC23" s="4">
        <f t="shared" si="2"/>
        <v>0</v>
      </c>
      <c r="AD23" s="4">
        <f t="shared" si="3"/>
        <v>0</v>
      </c>
      <c r="AE23" s="10">
        <f t="shared" si="4"/>
        <v>1</v>
      </c>
    </row>
    <row r="24" spans="1:39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63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66"/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66"/>
      <c r="V24" s="1">
        <v>1</v>
      </c>
      <c r="W24" s="1">
        <v>1</v>
      </c>
      <c r="X24" s="1">
        <v>1</v>
      </c>
      <c r="Y24" s="1">
        <v>1</v>
      </c>
      <c r="Z24" s="66"/>
      <c r="AA24" s="4">
        <f t="shared" si="0"/>
        <v>19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1</v>
      </c>
    </row>
    <row r="25" spans="1:39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63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66"/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66"/>
      <c r="V25" s="1">
        <v>1</v>
      </c>
      <c r="W25" s="1">
        <v>1</v>
      </c>
      <c r="X25" s="1">
        <v>1</v>
      </c>
      <c r="Y25" s="1">
        <v>1</v>
      </c>
      <c r="Z25" s="66"/>
      <c r="AA25" s="4">
        <f t="shared" si="0"/>
        <v>19</v>
      </c>
      <c r="AB25" s="4">
        <f t="shared" si="1"/>
        <v>0</v>
      </c>
      <c r="AC25" s="4">
        <f t="shared" si="2"/>
        <v>0</v>
      </c>
      <c r="AD25" s="4">
        <f t="shared" si="3"/>
        <v>0</v>
      </c>
      <c r="AE25" s="10">
        <f t="shared" si="4"/>
        <v>1</v>
      </c>
    </row>
    <row r="26" spans="1:39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63"/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66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66"/>
      <c r="V26" s="1">
        <v>0</v>
      </c>
      <c r="W26" s="1">
        <v>0</v>
      </c>
      <c r="X26" s="1">
        <v>0</v>
      </c>
      <c r="Y26" s="1">
        <v>0</v>
      </c>
      <c r="Z26" s="66"/>
      <c r="AA26" s="4">
        <f t="shared" si="0"/>
        <v>0</v>
      </c>
      <c r="AB26" s="4">
        <f t="shared" si="1"/>
        <v>19</v>
      </c>
      <c r="AC26" s="4">
        <f t="shared" si="2"/>
        <v>0</v>
      </c>
      <c r="AD26" s="4">
        <f t="shared" si="3"/>
        <v>0</v>
      </c>
      <c r="AE26" s="10">
        <f t="shared" si="4"/>
        <v>0</v>
      </c>
    </row>
    <row r="27" spans="1:39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63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66"/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66"/>
      <c r="V27" s="1">
        <v>1</v>
      </c>
      <c r="W27" s="1">
        <v>1</v>
      </c>
      <c r="X27" s="1">
        <v>1</v>
      </c>
      <c r="Y27" s="1">
        <v>1</v>
      </c>
      <c r="Z27" s="66"/>
      <c r="AA27" s="4">
        <f t="shared" si="0"/>
        <v>19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1</v>
      </c>
    </row>
    <row r="28" spans="1:39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63"/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66"/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66"/>
      <c r="V28" s="1">
        <v>1</v>
      </c>
      <c r="W28" s="1">
        <v>1</v>
      </c>
      <c r="X28" s="1">
        <v>1</v>
      </c>
      <c r="Y28" s="1">
        <v>1</v>
      </c>
      <c r="Z28" s="66"/>
      <c r="AA28" s="4">
        <f t="shared" si="0"/>
        <v>19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1</v>
      </c>
    </row>
    <row r="29" spans="1:39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63"/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66"/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66"/>
      <c r="V29" s="1">
        <v>1</v>
      </c>
      <c r="W29" s="1">
        <v>1</v>
      </c>
      <c r="X29" s="1">
        <v>1</v>
      </c>
      <c r="Y29" s="1">
        <v>1</v>
      </c>
      <c r="Z29" s="66"/>
      <c r="AA29" s="4">
        <f t="shared" si="0"/>
        <v>19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1</v>
      </c>
    </row>
    <row r="30" spans="1:39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63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66"/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66"/>
      <c r="V30" s="1">
        <v>1</v>
      </c>
      <c r="W30" s="1">
        <v>1</v>
      </c>
      <c r="X30" s="1">
        <v>1</v>
      </c>
      <c r="Y30" s="1">
        <v>1</v>
      </c>
      <c r="Z30" s="66"/>
      <c r="AA30" s="4">
        <f t="shared" si="0"/>
        <v>19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1</v>
      </c>
    </row>
    <row r="31" spans="1:39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63"/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66"/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66"/>
      <c r="V31" s="1">
        <v>1</v>
      </c>
      <c r="W31" s="1">
        <v>1</v>
      </c>
      <c r="X31" s="1">
        <v>1</v>
      </c>
      <c r="Y31" s="1">
        <v>1</v>
      </c>
      <c r="Z31" s="66"/>
      <c r="AA31" s="4">
        <f t="shared" si="0"/>
        <v>19</v>
      </c>
      <c r="AB31" s="4">
        <f t="shared" si="1"/>
        <v>0</v>
      </c>
      <c r="AC31" s="4">
        <f t="shared" si="2"/>
        <v>0</v>
      </c>
      <c r="AD31" s="4">
        <f t="shared" si="3"/>
        <v>0</v>
      </c>
      <c r="AE31" s="10">
        <f t="shared" si="4"/>
        <v>1</v>
      </c>
    </row>
    <row r="32" spans="1:39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63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66"/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66"/>
      <c r="V32" s="1">
        <v>1</v>
      </c>
      <c r="W32" s="1">
        <v>1</v>
      </c>
      <c r="X32" s="1">
        <v>1</v>
      </c>
      <c r="Y32" s="1">
        <v>1</v>
      </c>
      <c r="Z32" s="66"/>
      <c r="AA32" s="4">
        <f t="shared" si="0"/>
        <v>19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1</v>
      </c>
    </row>
    <row r="33" spans="1:31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63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66"/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66"/>
      <c r="V33" s="1">
        <v>1</v>
      </c>
      <c r="W33" s="1">
        <v>1</v>
      </c>
      <c r="X33" s="1">
        <v>1</v>
      </c>
      <c r="Y33" s="1">
        <v>1</v>
      </c>
      <c r="Z33" s="66"/>
      <c r="AA33" s="4">
        <f t="shared" si="0"/>
        <v>19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1</v>
      </c>
    </row>
    <row r="34" spans="1:31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63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66"/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66"/>
      <c r="V34" s="1">
        <v>1</v>
      </c>
      <c r="W34" s="1">
        <v>1</v>
      </c>
      <c r="X34" s="1">
        <v>1</v>
      </c>
      <c r="Y34" s="1">
        <v>1</v>
      </c>
      <c r="Z34" s="66"/>
      <c r="AA34" s="4">
        <f t="shared" si="0"/>
        <v>19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1</v>
      </c>
    </row>
    <row r="35" spans="1:31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63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66"/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66"/>
      <c r="V35" s="1">
        <v>1</v>
      </c>
      <c r="W35" s="1">
        <v>1</v>
      </c>
      <c r="X35" s="1">
        <v>1</v>
      </c>
      <c r="Y35" s="1">
        <v>1</v>
      </c>
      <c r="Z35" s="66"/>
      <c r="AA35" s="4">
        <f t="shared" si="0"/>
        <v>19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1</v>
      </c>
    </row>
    <row r="36" spans="1:31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4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67"/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67"/>
      <c r="V36" s="1">
        <v>1</v>
      </c>
      <c r="W36" s="1">
        <v>1</v>
      </c>
      <c r="X36" s="1">
        <v>1</v>
      </c>
      <c r="Y36" s="1">
        <v>1</v>
      </c>
      <c r="Z36" s="67"/>
      <c r="AA36" s="4">
        <f t="shared" si="0"/>
        <v>19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1</v>
      </c>
    </row>
    <row r="37" spans="1:31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V37" s="1">
        <v>1</v>
      </c>
      <c r="W37" s="1">
        <v>1</v>
      </c>
      <c r="X37" s="1">
        <v>1</v>
      </c>
      <c r="Y37" s="1">
        <v>1</v>
      </c>
    </row>
    <row r="38" spans="1:31" x14ac:dyDescent="0.3">
      <c r="A38" s="51">
        <v>27</v>
      </c>
      <c r="B38" s="9">
        <v>10</v>
      </c>
      <c r="C38" s="12" t="s">
        <v>56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V38" s="1">
        <v>1</v>
      </c>
      <c r="W38" s="1">
        <v>1</v>
      </c>
      <c r="X38" s="1">
        <v>1</v>
      </c>
      <c r="Y38" s="1">
        <v>1</v>
      </c>
    </row>
    <row r="39" spans="1:31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V39" s="1">
        <v>1</v>
      </c>
      <c r="W39" s="1">
        <v>1</v>
      </c>
      <c r="X39" s="1">
        <v>1</v>
      </c>
      <c r="Y39" s="1">
        <v>1</v>
      </c>
    </row>
    <row r="40" spans="1:31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V40" s="1">
        <v>1</v>
      </c>
      <c r="W40" s="1">
        <v>1</v>
      </c>
      <c r="X40" s="1">
        <v>1</v>
      </c>
      <c r="Y40" s="1">
        <v>1</v>
      </c>
    </row>
  </sheetData>
  <mergeCells count="25">
    <mergeCell ref="AA2:AC3"/>
    <mergeCell ref="AA4:AC5"/>
    <mergeCell ref="AA6:AC7"/>
    <mergeCell ref="C7:Z7"/>
    <mergeCell ref="AH11:AO11"/>
    <mergeCell ref="I11:I36"/>
    <mergeCell ref="O11:O36"/>
    <mergeCell ref="U11:U36"/>
    <mergeCell ref="Z11:Z36"/>
    <mergeCell ref="A1:AE1"/>
    <mergeCell ref="AD2:AE7"/>
    <mergeCell ref="A8:AE8"/>
    <mergeCell ref="Y9:AE9"/>
    <mergeCell ref="AC10:AE10"/>
    <mergeCell ref="A2:B7"/>
    <mergeCell ref="A10:B10"/>
    <mergeCell ref="C10:J10"/>
    <mergeCell ref="K10:S10"/>
    <mergeCell ref="T10:Z10"/>
    <mergeCell ref="AA10:AB10"/>
    <mergeCell ref="A9:B9"/>
    <mergeCell ref="C9:G9"/>
    <mergeCell ref="H9:J9"/>
    <mergeCell ref="K9:S9"/>
    <mergeCell ref="C2:Z6"/>
  </mergeCells>
  <conditionalFormatting sqref="I11 O11 U11">
    <cfRule type="cellIs" dxfId="903" priority="109" stopIfTrue="1" operator="equal">
      <formula>"T"</formula>
    </cfRule>
  </conditionalFormatting>
  <conditionalFormatting sqref="I11 P12:T40 V12:Y40 I14:I36">
    <cfRule type="cellIs" dxfId="902" priority="228" operator="equal">
      <formula>"J"</formula>
    </cfRule>
  </conditionalFormatting>
  <conditionalFormatting sqref="I11 V12:Y25 J12:N40 P12:T40 Z11">
    <cfRule type="cellIs" dxfId="901" priority="114" operator="equal">
      <formula>"T"</formula>
    </cfRule>
  </conditionalFormatting>
  <conditionalFormatting sqref="I12:N12 D12:H40 E13:I13 J13:N40">
    <cfRule type="cellIs" dxfId="900" priority="108" operator="equal">
      <formula>"J"</formula>
    </cfRule>
  </conditionalFormatting>
  <conditionalFormatting sqref="I12:Y12 J13:N40 P13:T40 U13:Y27 V28:Y40 D12:H40 I13:I36 O13:O36 U28:U36">
    <cfRule type="cellIs" dxfId="899" priority="106" stopIfTrue="1" operator="equal">
      <formula>"T"</formula>
    </cfRule>
  </conditionalFormatting>
  <conditionalFormatting sqref="P12:T40">
    <cfRule type="cellIs" dxfId="898" priority="88" operator="equal">
      <formula>"J"</formula>
    </cfRule>
  </conditionalFormatting>
  <conditionalFormatting sqref="V12:Y40">
    <cfRule type="cellIs" dxfId="897" priority="2" operator="equal">
      <formula>"J"</formula>
    </cfRule>
  </conditionalFormatting>
  <conditionalFormatting sqref="V26:Y40">
    <cfRule type="cellIs" dxfId="896" priority="4" operator="equal">
      <formula>"T"</formula>
    </cfRule>
  </conditionalFormatting>
  <dataValidations count="1">
    <dataValidation type="list" allowBlank="1" showInputMessage="1" showErrorMessage="1" sqref="D12:H40 J12:N40 P12:T40 V12:Y40" xr:uid="{B69C3273-2A6E-4F7C-9504-937953128F73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7" id="{693023AF-7A5B-431D-BAAA-6E80ECD76B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D12:H40</xm:sqref>
        </x14:conditionalFormatting>
        <x14:conditionalFormatting xmlns:xm="http://schemas.microsoft.com/office/excel/2006/main">
          <x14:cfRule type="iconSet" priority="227" id="{32FB50A4-A9F1-4218-8E2C-BDB59FF628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I12:N12 I13:I36 J13:N40 P12:T40 V12:Y40</xm:sqref>
        </x14:conditionalFormatting>
        <x14:conditionalFormatting xmlns:xm="http://schemas.microsoft.com/office/excel/2006/main">
          <x14:cfRule type="iconSet" priority="217" id="{727E1D10-C118-4F79-8D14-57A1A9C122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J12:N40 P12:T40 V12:Y12</xm:sqref>
        </x14:conditionalFormatting>
        <x14:conditionalFormatting xmlns:xm="http://schemas.microsoft.com/office/excel/2006/main">
          <x14:cfRule type="iconSet" priority="208" id="{F29C58D5-945B-4C3C-827F-4B53B117C3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I11 O11 U11 I13:I36 O13:O36 J13:N40 P13:T40 I12:Y12 U13:Y27 U28:U36 V28:Y40</xm:sqref>
        </x14:conditionalFormatting>
        <x14:conditionalFormatting xmlns:xm="http://schemas.microsoft.com/office/excel/2006/main">
          <x14:cfRule type="iconSet" priority="104" id="{51DAC1A5-DBDF-457C-9107-D506A1C610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" id="{86F4A0A7-4C74-4F1E-85C7-8ADED1E164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J26</xm:sqref>
        </x14:conditionalFormatting>
        <x14:conditionalFormatting xmlns:xm="http://schemas.microsoft.com/office/excel/2006/main">
          <x14:cfRule type="iconSet" priority="105" id="{0F51CCFC-BA82-4C57-9588-3BF3CE5F48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J12:N40</xm:sqref>
        </x14:conditionalFormatting>
        <x14:conditionalFormatting xmlns:xm="http://schemas.microsoft.com/office/excel/2006/main">
          <x14:cfRule type="iconSet" priority="99" id="{C6B3F41B-303C-4043-9DAA-95D5374AA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</xm:sqref>
        </x14:conditionalFormatting>
        <x14:conditionalFormatting xmlns:xm="http://schemas.microsoft.com/office/excel/2006/main">
          <x14:cfRule type="iconSet" priority="101" id="{1580CA9E-9107-4EF5-B7E9-603B5A4183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102" id="{DCA61894-5514-41CD-9ED2-EE66CDB32B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M26</xm:sqref>
        </x14:conditionalFormatting>
        <x14:conditionalFormatting xmlns:xm="http://schemas.microsoft.com/office/excel/2006/main">
          <x14:cfRule type="iconSet" priority="103" id="{94CDFAAF-545C-415D-B716-F5D2DC537B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N26</xm:sqref>
        </x14:conditionalFormatting>
        <x14:conditionalFormatting xmlns:xm="http://schemas.microsoft.com/office/excel/2006/main">
          <x14:cfRule type="iconSet" priority="82" id="{6B6830CB-4D11-4E8A-BAEC-452D180EA2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" id="{4737FFCD-9F63-46C0-8829-26AD14507E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P13</xm:sqref>
        </x14:conditionalFormatting>
        <x14:conditionalFormatting xmlns:xm="http://schemas.microsoft.com/office/excel/2006/main">
          <x14:cfRule type="iconSet" priority="94" id="{41914428-BF1B-497F-A288-3D9234A187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" id="{1277C6B8-2CFE-4A71-BA5A-8DB693DE8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P26</xm:sqref>
        </x14:conditionalFormatting>
        <x14:conditionalFormatting xmlns:xm="http://schemas.microsoft.com/office/excel/2006/main">
          <x14:cfRule type="iconSet" priority="97" id="{4B2237B5-1E93-4E7A-8CF7-8EA1419268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P12:T40</xm:sqref>
        </x14:conditionalFormatting>
        <x14:conditionalFormatting xmlns:xm="http://schemas.microsoft.com/office/excel/2006/main">
          <x14:cfRule type="iconSet" priority="87" id="{BCE3A853-5D74-4193-9501-1FF3EF3B66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P13:T13</xm:sqref>
        </x14:conditionalFormatting>
        <x14:conditionalFormatting xmlns:xm="http://schemas.microsoft.com/office/excel/2006/main">
          <x14:cfRule type="iconSet" priority="95" id="{FD5A2D1D-16D6-4240-8850-8A25CFF0D3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P26:T26</xm:sqref>
        </x14:conditionalFormatting>
        <x14:conditionalFormatting xmlns:xm="http://schemas.microsoft.com/office/excel/2006/main">
          <x14:cfRule type="iconSet" priority="81" id="{901F976C-7801-4C97-B4F8-EDBB27580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89" id="{0A8F7EC5-9927-44E9-B4E3-FC8AAB572E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Q26</xm:sqref>
        </x14:conditionalFormatting>
        <x14:conditionalFormatting xmlns:xm="http://schemas.microsoft.com/office/excel/2006/main">
          <x14:cfRule type="iconSet" priority="83" id="{29FD8DD7-451E-4021-9BC2-193590159F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R13</xm:sqref>
        </x14:conditionalFormatting>
        <x14:conditionalFormatting xmlns:xm="http://schemas.microsoft.com/office/excel/2006/main">
          <x14:cfRule type="iconSet" priority="91" id="{6EEB2EA1-0815-4BCD-93EC-4F21694C8C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R26</xm:sqref>
        </x14:conditionalFormatting>
        <x14:conditionalFormatting xmlns:xm="http://schemas.microsoft.com/office/excel/2006/main">
          <x14:cfRule type="iconSet" priority="84" id="{79192B65-E2FE-434D-B5B0-D772E37C1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S13</xm:sqref>
        </x14:conditionalFormatting>
        <x14:conditionalFormatting xmlns:xm="http://schemas.microsoft.com/office/excel/2006/main">
          <x14:cfRule type="iconSet" priority="92" id="{0AED2138-80D1-444D-877D-C89C834843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S26</xm:sqref>
        </x14:conditionalFormatting>
        <x14:conditionalFormatting xmlns:xm="http://schemas.microsoft.com/office/excel/2006/main">
          <x14:cfRule type="iconSet" priority="85" id="{F67B06EA-B934-4FF3-A458-183847D53A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T13</xm:sqref>
        </x14:conditionalFormatting>
        <x14:conditionalFormatting xmlns:xm="http://schemas.microsoft.com/office/excel/2006/main">
          <x14:cfRule type="iconSet" priority="93" id="{220BC057-5388-430D-ACFC-F62DAB2DEB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T26</xm:sqref>
        </x14:conditionalFormatting>
        <x14:conditionalFormatting xmlns:xm="http://schemas.microsoft.com/office/excel/2006/main">
          <x14:cfRule type="iconSet" priority="79" id="{3836D0CD-FBD4-42A2-87CA-F53AE58C59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V12</xm:sqref>
        </x14:conditionalFormatting>
        <x14:conditionalFormatting xmlns:xm="http://schemas.microsoft.com/office/excel/2006/main">
          <x14:cfRule type="iconSet" priority="55" id="{7A53E538-7852-4117-9999-4085F03397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" id="{B0BF25C4-D9F4-44E3-AAD3-3CABA0F6BC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73DB9640-8205-458A-BD2C-61AF00FD87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" id="{2DA447A3-91A0-4389-BBAC-CF8B3DBC9E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V13</xm:sqref>
        </x14:conditionalFormatting>
        <x14:conditionalFormatting xmlns:xm="http://schemas.microsoft.com/office/excel/2006/main">
          <x14:cfRule type="iconSet" priority="70" id="{7149B9BD-1A3E-448E-AAEE-11793EC3D8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" id="{00C518E6-80FA-4161-A2A0-C531B696AC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V14:V25</xm:sqref>
        </x14:conditionalFormatting>
        <x14:conditionalFormatting xmlns:xm="http://schemas.microsoft.com/office/excel/2006/main">
          <x14:cfRule type="iconSet" priority="36" id="{D67E5817-D3D3-4BA6-9B65-ED949152FD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" id="{246A5664-4EC1-43E8-9FC0-7068CAFE09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" id="{01FD7EA2-6429-47CF-967B-B21219DBAF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" id="{959CE47F-8590-43F8-8EE2-22204CBD0E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V26</xm:sqref>
        </x14:conditionalFormatting>
        <x14:conditionalFormatting xmlns:xm="http://schemas.microsoft.com/office/excel/2006/main">
          <x14:cfRule type="iconSet" priority="5" id="{5415EA20-A213-4162-845B-A5F1128ED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" id="{06B29C48-32CB-4C5A-A90B-10738A2D05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V27:Y27</xm:sqref>
        </x14:conditionalFormatting>
        <x14:conditionalFormatting xmlns:xm="http://schemas.microsoft.com/office/excel/2006/main">
          <x14:cfRule type="iconSet" priority="1" id="{D5951967-BC64-489F-A225-E2DC16D237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" id="{113F613B-44E6-44D1-992E-49F675EFB2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V28:Y40</xm:sqref>
        </x14:conditionalFormatting>
        <x14:conditionalFormatting xmlns:xm="http://schemas.microsoft.com/office/excel/2006/main">
          <x14:cfRule type="iconSet" priority="77" id="{70B3DB18-71A1-4AC7-A6D0-663A0225CB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W12</xm:sqref>
        </x14:conditionalFormatting>
        <x14:conditionalFormatting xmlns:xm="http://schemas.microsoft.com/office/excel/2006/main">
          <x14:cfRule type="iconSet" priority="54" id="{5F611395-7DD2-4B52-9EEA-AE0F63F032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" id="{FB0A4086-DE1F-4E16-BF06-0F3DC18C1E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" id="{9951E48B-BC3B-425F-8374-A77D50F0B0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" id="{AAB7D9B5-31CD-4AD5-9304-9A4601252E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W13</xm:sqref>
        </x14:conditionalFormatting>
        <x14:conditionalFormatting xmlns:xm="http://schemas.microsoft.com/office/excel/2006/main">
          <x14:cfRule type="iconSet" priority="69" id="{D08275DB-A2B3-4CB2-8965-A81CDDCC01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" id="{4452D523-0EEB-49FE-9EF9-B4A2F3F6DB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W14:W25</xm:sqref>
        </x14:conditionalFormatting>
        <x14:conditionalFormatting xmlns:xm="http://schemas.microsoft.com/office/excel/2006/main">
          <x14:cfRule type="iconSet" priority="26" id="{CF575DE4-E283-44D8-9BEE-DEFBC20016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" id="{6AC82428-0068-49DB-B7B5-51723BFAB5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" id="{CE94402B-DE72-47C1-847D-4D63D31FA1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" id="{BC89C4E7-90B3-44DC-BDC9-D26C66128C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W26</xm:sqref>
        </x14:conditionalFormatting>
        <x14:conditionalFormatting xmlns:xm="http://schemas.microsoft.com/office/excel/2006/main">
          <x14:cfRule type="iconSet" priority="75" id="{EF0C5A92-7F58-4EC5-B79D-9C4A0A015C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X12</xm:sqref>
        </x14:conditionalFormatting>
        <x14:conditionalFormatting xmlns:xm="http://schemas.microsoft.com/office/excel/2006/main">
          <x14:cfRule type="iconSet" priority="48" id="{5ABB6EB9-BACC-452F-860C-3EEAAF1AFE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3354636B-3335-484C-BD11-BF96479967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" id="{2B7C0EB6-67BC-4537-8EEC-BD2D5E15D4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" id="{D2AFFF35-627D-4053-9FF6-5C3FCC4E61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X13</xm:sqref>
        </x14:conditionalFormatting>
        <x14:conditionalFormatting xmlns:xm="http://schemas.microsoft.com/office/excel/2006/main">
          <x14:cfRule type="iconSet" priority="66" id="{2627E4ED-D8D1-43F4-9CDD-0D98B1F151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" id="{6BA8FC44-FD80-4875-87F0-FD52BBBB37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X14:X25</xm:sqref>
        </x14:conditionalFormatting>
        <x14:conditionalFormatting xmlns:xm="http://schemas.microsoft.com/office/excel/2006/main">
          <x14:cfRule type="iconSet" priority="22" id="{9CD9E0BF-C2CE-4E30-AE93-20C12FF94A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" id="{D2FFDEF1-49A7-40E4-BC5D-55ECD688A1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" id="{108FFEFD-B6EA-4990-A8DE-AE4E1CD1F0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" id="{665A95CF-9603-4A01-8C22-D9361A0D9B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X26</xm:sqref>
        </x14:conditionalFormatting>
        <x14:conditionalFormatting xmlns:xm="http://schemas.microsoft.com/office/excel/2006/main">
          <x14:cfRule type="iconSet" priority="73" id="{F21DE9E2-E890-4FB9-B5C8-F6FDCF3641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Y12</xm:sqref>
        </x14:conditionalFormatting>
        <x14:conditionalFormatting xmlns:xm="http://schemas.microsoft.com/office/excel/2006/main">
          <x14:cfRule type="iconSet" priority="42" id="{FA125FC5-AA2F-4D36-9A17-7E1B411C5F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" id="{416FECE1-B52A-4EE7-9AB9-2E054FACF0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" id="{E9B04A9D-CA05-449B-9746-C064009CD6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" id="{B8186FC3-5E8E-42AC-8AD7-E25A7E4589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Y13</xm:sqref>
        </x14:conditionalFormatting>
        <x14:conditionalFormatting xmlns:xm="http://schemas.microsoft.com/office/excel/2006/main">
          <x14:cfRule type="iconSet" priority="63" id="{0193A6CE-022E-4732-85F9-DD03BCBCAA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" id="{507ED4CB-06D2-4846-89B9-94DF323FC0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Y14:Y25</xm:sqref>
        </x14:conditionalFormatting>
        <x14:conditionalFormatting xmlns:xm="http://schemas.microsoft.com/office/excel/2006/main">
          <x14:cfRule type="iconSet" priority="15" id="{D059A8C3-F75F-4659-8951-774FC95F6D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" id="{D01427CB-B2A0-4E9C-9FD4-C37EAAE05B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" id="{876F7CCE-5678-41AF-878A-35E53D42B3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" id="{620C2D98-028E-4CD8-993F-9E4481DCAC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3A87-E94B-4056-9BC9-3C6765AB1C86}">
  <sheetPr codeName="Hoja5"/>
  <dimension ref="A1:AO39"/>
  <sheetViews>
    <sheetView topLeftCell="A11" zoomScale="90" zoomScaleNormal="90" workbookViewId="0">
      <selection activeCell="D12" sqref="D12"/>
    </sheetView>
  </sheetViews>
  <sheetFormatPr baseColWidth="10" defaultColWidth="5.33203125" defaultRowHeight="14.4" x14ac:dyDescent="0.3"/>
  <cols>
    <col min="1" max="1" width="3.21875" bestFit="1" customWidth="1"/>
    <col min="2" max="2" width="7.5546875" style="5" bestFit="1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70"/>
      <c r="AE1" s="74"/>
    </row>
    <row r="2" spans="1:41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70"/>
      <c r="AE2" s="74"/>
    </row>
    <row r="3" spans="1:41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70"/>
      <c r="AE3" s="74"/>
    </row>
    <row r="4" spans="1:41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70"/>
      <c r="AE4" s="74"/>
    </row>
    <row r="5" spans="1:41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70"/>
      <c r="AE5" s="74"/>
    </row>
    <row r="6" spans="1:41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70"/>
      <c r="AE6" s="74"/>
    </row>
    <row r="7" spans="1:41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70"/>
      <c r="AE7" s="74"/>
    </row>
    <row r="8" spans="1:41" x14ac:dyDescent="0.3">
      <c r="A8" s="63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4"/>
    </row>
    <row r="9" spans="1:41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7"/>
      <c r="Z9" s="57"/>
      <c r="AA9" s="57"/>
      <c r="AB9" s="57"/>
      <c r="AC9" s="57"/>
      <c r="AD9" s="57"/>
      <c r="AE9" s="57"/>
    </row>
    <row r="10" spans="1:41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7"/>
      <c r="AD10" s="57"/>
      <c r="AE10" s="57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60"/>
      <c r="J11" s="1">
        <v>11</v>
      </c>
      <c r="K11" s="1">
        <v>12</v>
      </c>
      <c r="L11" s="1">
        <v>13</v>
      </c>
      <c r="M11" s="1">
        <v>14</v>
      </c>
      <c r="N11" s="1">
        <v>15</v>
      </c>
      <c r="O11" s="65"/>
      <c r="P11" s="1">
        <v>19</v>
      </c>
      <c r="Q11" s="1">
        <v>20</v>
      </c>
      <c r="R11" s="1">
        <v>21</v>
      </c>
      <c r="S11" s="1">
        <v>22</v>
      </c>
      <c r="T11" s="65"/>
      <c r="U11" s="1">
        <v>25</v>
      </c>
      <c r="V11" s="1">
        <v>26</v>
      </c>
      <c r="W11" s="1">
        <v>27</v>
      </c>
      <c r="X11" s="1">
        <v>28</v>
      </c>
      <c r="Y11" s="1">
        <v>29</v>
      </c>
      <c r="Z11" s="65"/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71" t="s">
        <v>9</v>
      </c>
      <c r="AI11" s="72"/>
      <c r="AJ11" s="72"/>
      <c r="AK11" s="72"/>
      <c r="AL11" s="72"/>
      <c r="AM11" s="72"/>
      <c r="AN11" s="72"/>
      <c r="AO11" s="73"/>
    </row>
    <row r="12" spans="1:41" s="3" customFormat="1" ht="18" x14ac:dyDescent="0.3">
      <c r="A12" s="6">
        <v>1</v>
      </c>
      <c r="B12" s="52">
        <v>6</v>
      </c>
      <c r="C12" s="12" t="s">
        <v>57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63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66"/>
      <c r="P12" s="1">
        <v>1</v>
      </c>
      <c r="Q12" s="1">
        <v>1</v>
      </c>
      <c r="R12" s="1">
        <v>1</v>
      </c>
      <c r="S12" s="1">
        <v>1</v>
      </c>
      <c r="T12" s="66"/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66"/>
      <c r="AA12" s="4">
        <f t="shared" ref="AA12:AA36" si="0">COUNTIF(D12:Y12,1)</f>
        <v>19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1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ht="18" x14ac:dyDescent="0.3">
      <c r="A13" s="6">
        <v>2</v>
      </c>
      <c r="B13" s="52">
        <v>6</v>
      </c>
      <c r="C13" s="12" t="s">
        <v>58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63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66"/>
      <c r="P13" s="1">
        <v>1</v>
      </c>
      <c r="Q13" s="1">
        <v>1</v>
      </c>
      <c r="R13" s="1">
        <v>1</v>
      </c>
      <c r="S13" s="1">
        <v>1</v>
      </c>
      <c r="T13" s="66"/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66"/>
      <c r="AA13" s="4">
        <f t="shared" si="0"/>
        <v>19</v>
      </c>
      <c r="AB13" s="4">
        <f t="shared" si="1"/>
        <v>0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1</v>
      </c>
      <c r="AH13" s="17"/>
      <c r="AI13" s="15">
        <v>0</v>
      </c>
      <c r="AJ13" s="3" t="s">
        <v>14</v>
      </c>
      <c r="AO13" s="18"/>
    </row>
    <row r="14" spans="1:41" s="3" customFormat="1" ht="18" x14ac:dyDescent="0.3">
      <c r="A14" s="6">
        <v>3</v>
      </c>
      <c r="B14" s="52">
        <v>6</v>
      </c>
      <c r="C14" s="12" t="s">
        <v>59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63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66"/>
      <c r="P14" s="1">
        <v>1</v>
      </c>
      <c r="Q14" s="1">
        <v>1</v>
      </c>
      <c r="R14" s="1">
        <v>1</v>
      </c>
      <c r="S14" s="1">
        <v>1</v>
      </c>
      <c r="T14" s="66"/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66"/>
      <c r="AA14" s="4">
        <f t="shared" si="0"/>
        <v>19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1</v>
      </c>
      <c r="AH14" s="17"/>
      <c r="AI14" s="16" t="s">
        <v>11</v>
      </c>
      <c r="AJ14" s="3" t="s">
        <v>12</v>
      </c>
      <c r="AO14" s="18"/>
    </row>
    <row r="15" spans="1:41" ht="18.600000000000001" thickBot="1" x14ac:dyDescent="0.35">
      <c r="A15" s="6">
        <v>4</v>
      </c>
      <c r="B15" s="52">
        <v>7</v>
      </c>
      <c r="C15" s="12" t="s">
        <v>60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63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66"/>
      <c r="P15" s="1">
        <v>1</v>
      </c>
      <c r="Q15" s="1">
        <v>1</v>
      </c>
      <c r="R15" s="1">
        <v>1</v>
      </c>
      <c r="S15" s="1">
        <v>1</v>
      </c>
      <c r="T15" s="66"/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66"/>
      <c r="AA15" s="4">
        <f t="shared" si="0"/>
        <v>19</v>
      </c>
      <c r="AB15" s="4">
        <f t="shared" si="1"/>
        <v>0</v>
      </c>
      <c r="AC15" s="4">
        <f t="shared" si="2"/>
        <v>0</v>
      </c>
      <c r="AD15" s="4">
        <f t="shared" si="3"/>
        <v>0</v>
      </c>
      <c r="AE15" s="10">
        <f t="shared" si="4"/>
        <v>1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ht="18" x14ac:dyDescent="0.3">
      <c r="A16" s="6">
        <v>5</v>
      </c>
      <c r="B16" s="52">
        <v>7</v>
      </c>
      <c r="C16" s="12" t="s">
        <v>61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63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66"/>
      <c r="P16" s="1">
        <v>1</v>
      </c>
      <c r="Q16" s="1">
        <v>1</v>
      </c>
      <c r="R16" s="1">
        <v>1</v>
      </c>
      <c r="S16" s="1">
        <v>1</v>
      </c>
      <c r="T16" s="66"/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66"/>
      <c r="AA16" s="4">
        <f t="shared" si="0"/>
        <v>19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1</v>
      </c>
    </row>
    <row r="17" spans="1:39" ht="18" x14ac:dyDescent="0.3">
      <c r="A17" s="6">
        <v>6</v>
      </c>
      <c r="B17" s="52">
        <v>7</v>
      </c>
      <c r="C17" s="12" t="s">
        <v>62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63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66"/>
      <c r="P17" s="1">
        <v>1</v>
      </c>
      <c r="Q17" s="1">
        <v>1</v>
      </c>
      <c r="R17" s="1">
        <v>1</v>
      </c>
      <c r="S17" s="1">
        <v>1</v>
      </c>
      <c r="T17" s="66"/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66"/>
      <c r="AA17" s="4">
        <f t="shared" si="0"/>
        <v>19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1</v>
      </c>
    </row>
    <row r="18" spans="1:39" ht="18" x14ac:dyDescent="0.3">
      <c r="A18" s="6">
        <v>7</v>
      </c>
      <c r="B18" s="52">
        <v>7</v>
      </c>
      <c r="C18" s="12" t="s">
        <v>63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63"/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66"/>
      <c r="P18" s="1">
        <v>1</v>
      </c>
      <c r="Q18" s="1">
        <v>1</v>
      </c>
      <c r="R18" s="1">
        <v>1</v>
      </c>
      <c r="S18" s="1">
        <v>1</v>
      </c>
      <c r="T18" s="66"/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66"/>
      <c r="AA18" s="4">
        <f t="shared" si="0"/>
        <v>19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1</v>
      </c>
      <c r="AJ18" s="8"/>
      <c r="AL18" s="3"/>
      <c r="AM18" s="3"/>
    </row>
    <row r="19" spans="1:39" ht="18" x14ac:dyDescent="0.3">
      <c r="A19" s="6">
        <v>8</v>
      </c>
      <c r="B19" s="52">
        <v>7</v>
      </c>
      <c r="C19" s="12" t="s">
        <v>64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63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66"/>
      <c r="P19" s="1">
        <v>1</v>
      </c>
      <c r="Q19" s="1">
        <v>1</v>
      </c>
      <c r="R19" s="1">
        <v>1</v>
      </c>
      <c r="S19" s="1">
        <v>1</v>
      </c>
      <c r="T19" s="66"/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66"/>
      <c r="AA19" s="4">
        <f t="shared" si="0"/>
        <v>19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1</v>
      </c>
      <c r="AJ19" s="8"/>
    </row>
    <row r="20" spans="1:39" ht="18" x14ac:dyDescent="0.3">
      <c r="A20" s="6">
        <v>9</v>
      </c>
      <c r="B20" s="52">
        <v>7</v>
      </c>
      <c r="C20" s="12" t="s">
        <v>65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63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66"/>
      <c r="P20" s="1">
        <v>1</v>
      </c>
      <c r="Q20" s="1">
        <v>1</v>
      </c>
      <c r="R20" s="1">
        <v>1</v>
      </c>
      <c r="S20" s="1">
        <v>1</v>
      </c>
      <c r="T20" s="66"/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66"/>
      <c r="AA20" s="4">
        <f t="shared" si="0"/>
        <v>19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1</v>
      </c>
      <c r="AJ20" s="8"/>
      <c r="AK20" s="3"/>
      <c r="AL20" s="3"/>
      <c r="AM20" s="3"/>
    </row>
    <row r="21" spans="1:39" ht="18" x14ac:dyDescent="0.3">
      <c r="A21" s="6">
        <v>10</v>
      </c>
      <c r="B21" s="52">
        <v>7</v>
      </c>
      <c r="C21" s="12" t="s">
        <v>66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63"/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66"/>
      <c r="P21" s="1">
        <v>1</v>
      </c>
      <c r="Q21" s="1">
        <v>1</v>
      </c>
      <c r="R21" s="1">
        <v>1</v>
      </c>
      <c r="S21" s="1">
        <v>1</v>
      </c>
      <c r="T21" s="66"/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66"/>
      <c r="AA21" s="4">
        <f t="shared" si="0"/>
        <v>19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1</v>
      </c>
      <c r="AJ21" s="7"/>
    </row>
    <row r="22" spans="1:39" ht="18" x14ac:dyDescent="0.3">
      <c r="A22" s="6">
        <v>11</v>
      </c>
      <c r="B22" s="52">
        <v>8</v>
      </c>
      <c r="C22" s="12" t="s">
        <v>67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63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66"/>
      <c r="P22" s="1">
        <v>1</v>
      </c>
      <c r="Q22" s="1">
        <v>1</v>
      </c>
      <c r="R22" s="1">
        <v>1</v>
      </c>
      <c r="S22" s="1">
        <v>1</v>
      </c>
      <c r="T22" s="66"/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66"/>
      <c r="AA22" s="4">
        <f t="shared" si="0"/>
        <v>19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1</v>
      </c>
    </row>
    <row r="23" spans="1:39" ht="18" x14ac:dyDescent="0.3">
      <c r="A23" s="6">
        <v>12</v>
      </c>
      <c r="B23" s="52">
        <v>8</v>
      </c>
      <c r="C23" s="12" t="s">
        <v>68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63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66"/>
      <c r="P23" s="1">
        <v>1</v>
      </c>
      <c r="Q23" s="1">
        <v>1</v>
      </c>
      <c r="R23" s="1">
        <v>1</v>
      </c>
      <c r="S23" s="1">
        <v>1</v>
      </c>
      <c r="T23" s="66"/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66"/>
      <c r="AA23" s="4">
        <f t="shared" si="0"/>
        <v>19</v>
      </c>
      <c r="AB23" s="4">
        <f t="shared" si="1"/>
        <v>0</v>
      </c>
      <c r="AC23" s="4">
        <f t="shared" si="2"/>
        <v>0</v>
      </c>
      <c r="AD23" s="4">
        <f t="shared" si="3"/>
        <v>0</v>
      </c>
      <c r="AE23" s="10">
        <f t="shared" si="4"/>
        <v>1</v>
      </c>
    </row>
    <row r="24" spans="1:39" ht="18" x14ac:dyDescent="0.3">
      <c r="A24" s="6">
        <v>13</v>
      </c>
      <c r="B24" s="52">
        <v>8</v>
      </c>
      <c r="C24" s="12" t="s">
        <v>69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63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66"/>
      <c r="P24" s="1">
        <v>1</v>
      </c>
      <c r="Q24" s="1">
        <v>1</v>
      </c>
      <c r="R24" s="1">
        <v>1</v>
      </c>
      <c r="S24" s="1">
        <v>1</v>
      </c>
      <c r="T24" s="66"/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66"/>
      <c r="AA24" s="4">
        <f t="shared" si="0"/>
        <v>19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1</v>
      </c>
    </row>
    <row r="25" spans="1:39" ht="18" x14ac:dyDescent="0.3">
      <c r="A25" s="6">
        <v>14</v>
      </c>
      <c r="B25" s="38">
        <v>8</v>
      </c>
      <c r="C25" s="12" t="s">
        <v>70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63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66"/>
      <c r="P25" s="1">
        <v>1</v>
      </c>
      <c r="Q25" s="1">
        <v>1</v>
      </c>
      <c r="R25" s="1">
        <v>1</v>
      </c>
      <c r="S25" s="1">
        <v>1</v>
      </c>
      <c r="T25" s="66"/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66"/>
      <c r="AA25" s="4">
        <f t="shared" si="0"/>
        <v>19</v>
      </c>
      <c r="AB25" s="4">
        <f t="shared" si="1"/>
        <v>0</v>
      </c>
      <c r="AC25" s="4">
        <f t="shared" si="2"/>
        <v>0</v>
      </c>
      <c r="AD25" s="4">
        <f t="shared" si="3"/>
        <v>0</v>
      </c>
      <c r="AE25" s="10">
        <f t="shared" si="4"/>
        <v>1</v>
      </c>
    </row>
    <row r="26" spans="1:39" ht="18" x14ac:dyDescent="0.3">
      <c r="A26" s="6">
        <v>15</v>
      </c>
      <c r="B26" s="38">
        <v>8</v>
      </c>
      <c r="C26" s="12" t="s">
        <v>71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63"/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66"/>
      <c r="P26" s="1">
        <v>1</v>
      </c>
      <c r="Q26" s="1">
        <v>1</v>
      </c>
      <c r="R26" s="1">
        <v>1</v>
      </c>
      <c r="S26" s="1">
        <v>1</v>
      </c>
      <c r="T26" s="66"/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66"/>
      <c r="AA26" s="4">
        <f t="shared" si="0"/>
        <v>19</v>
      </c>
      <c r="AB26" s="4">
        <f t="shared" si="1"/>
        <v>0</v>
      </c>
      <c r="AC26" s="4">
        <f t="shared" si="2"/>
        <v>0</v>
      </c>
      <c r="AD26" s="4">
        <f t="shared" si="3"/>
        <v>0</v>
      </c>
      <c r="AE26" s="10">
        <f t="shared" si="4"/>
        <v>1</v>
      </c>
    </row>
    <row r="27" spans="1:39" ht="18" x14ac:dyDescent="0.3">
      <c r="A27" s="6">
        <v>16</v>
      </c>
      <c r="B27" s="38">
        <v>9</v>
      </c>
      <c r="C27" s="12" t="s">
        <v>72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63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66"/>
      <c r="P27" s="1">
        <v>1</v>
      </c>
      <c r="Q27" s="1">
        <v>1</v>
      </c>
      <c r="R27" s="1">
        <v>1</v>
      </c>
      <c r="S27" s="1">
        <v>1</v>
      </c>
      <c r="T27" s="66"/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66"/>
      <c r="AA27" s="4">
        <f t="shared" si="0"/>
        <v>19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1</v>
      </c>
    </row>
    <row r="28" spans="1:39" ht="18" x14ac:dyDescent="0.3">
      <c r="A28" s="6">
        <v>17</v>
      </c>
      <c r="B28" s="38">
        <v>9</v>
      </c>
      <c r="C28" s="12" t="s">
        <v>73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63"/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66"/>
      <c r="P28" s="1">
        <v>1</v>
      </c>
      <c r="Q28" s="1">
        <v>1</v>
      </c>
      <c r="R28" s="1">
        <v>1</v>
      </c>
      <c r="S28" s="1">
        <v>1</v>
      </c>
      <c r="T28" s="66"/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66"/>
      <c r="AA28" s="4">
        <f t="shared" si="0"/>
        <v>19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1</v>
      </c>
    </row>
    <row r="29" spans="1:39" ht="18" x14ac:dyDescent="0.3">
      <c r="A29" s="6">
        <v>18</v>
      </c>
      <c r="B29" s="38">
        <v>9</v>
      </c>
      <c r="C29" s="12" t="s">
        <v>74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63"/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66"/>
      <c r="P29" s="1">
        <v>1</v>
      </c>
      <c r="Q29" s="1">
        <v>1</v>
      </c>
      <c r="R29" s="1">
        <v>1</v>
      </c>
      <c r="S29" s="1">
        <v>1</v>
      </c>
      <c r="T29" s="66"/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66"/>
      <c r="AA29" s="4">
        <f t="shared" si="0"/>
        <v>19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1</v>
      </c>
    </row>
    <row r="30" spans="1:39" ht="18" x14ac:dyDescent="0.3">
      <c r="A30" s="6">
        <v>19</v>
      </c>
      <c r="B30" s="38">
        <v>9</v>
      </c>
      <c r="C30" s="12" t="s">
        <v>75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63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66"/>
      <c r="P30" s="1">
        <v>1</v>
      </c>
      <c r="Q30" s="1">
        <v>1</v>
      </c>
      <c r="R30" s="1">
        <v>1</v>
      </c>
      <c r="S30" s="1">
        <v>1</v>
      </c>
      <c r="T30" s="66"/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66"/>
      <c r="AA30" s="4">
        <f t="shared" si="0"/>
        <v>19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1</v>
      </c>
    </row>
    <row r="31" spans="1:39" ht="18" x14ac:dyDescent="0.3">
      <c r="A31" s="6">
        <v>20</v>
      </c>
      <c r="B31" s="38">
        <v>9</v>
      </c>
      <c r="C31" s="12" t="s">
        <v>76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63"/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66"/>
      <c r="P31" s="1">
        <v>1</v>
      </c>
      <c r="Q31" s="1">
        <v>1</v>
      </c>
      <c r="R31" s="1">
        <v>1</v>
      </c>
      <c r="S31" s="1">
        <v>1</v>
      </c>
      <c r="T31" s="66"/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66"/>
      <c r="AA31" s="4">
        <f t="shared" si="0"/>
        <v>19</v>
      </c>
      <c r="AB31" s="4">
        <f t="shared" si="1"/>
        <v>0</v>
      </c>
      <c r="AC31" s="4">
        <f t="shared" si="2"/>
        <v>0</v>
      </c>
      <c r="AD31" s="4">
        <f t="shared" si="3"/>
        <v>0</v>
      </c>
      <c r="AE31" s="10">
        <f t="shared" si="4"/>
        <v>1</v>
      </c>
    </row>
    <row r="32" spans="1:39" ht="18" x14ac:dyDescent="0.3">
      <c r="A32" s="6">
        <v>21</v>
      </c>
      <c r="B32" s="38">
        <v>10</v>
      </c>
      <c r="C32" s="12" t="s">
        <v>77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63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66"/>
      <c r="P32" s="1">
        <v>1</v>
      </c>
      <c r="Q32" s="1">
        <v>1</v>
      </c>
      <c r="R32" s="1">
        <v>1</v>
      </c>
      <c r="S32" s="1">
        <v>1</v>
      </c>
      <c r="T32" s="66"/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66"/>
      <c r="AA32" s="4">
        <f t="shared" si="0"/>
        <v>19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1</v>
      </c>
    </row>
    <row r="33" spans="1:31" ht="18" x14ac:dyDescent="0.3">
      <c r="A33" s="6">
        <v>22</v>
      </c>
      <c r="B33" s="38">
        <v>10</v>
      </c>
      <c r="C33" s="12" t="s">
        <v>78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63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66"/>
      <c r="P33" s="1">
        <v>1</v>
      </c>
      <c r="Q33" s="1">
        <v>1</v>
      </c>
      <c r="R33" s="1">
        <v>1</v>
      </c>
      <c r="S33" s="1">
        <v>1</v>
      </c>
      <c r="T33" s="66"/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66"/>
      <c r="AA33" s="4">
        <f t="shared" si="0"/>
        <v>19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1</v>
      </c>
    </row>
    <row r="34" spans="1:31" ht="18" x14ac:dyDescent="0.3">
      <c r="A34" s="6">
        <v>23</v>
      </c>
      <c r="B34" s="38">
        <v>10</v>
      </c>
      <c r="C34" s="12" t="s">
        <v>79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63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66"/>
      <c r="P34" s="1">
        <v>1</v>
      </c>
      <c r="Q34" s="1">
        <v>1</v>
      </c>
      <c r="R34" s="1">
        <v>1</v>
      </c>
      <c r="S34" s="1">
        <v>1</v>
      </c>
      <c r="T34" s="66"/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66"/>
      <c r="AA34" s="4">
        <f t="shared" si="0"/>
        <v>19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1</v>
      </c>
    </row>
    <row r="35" spans="1:31" ht="18" x14ac:dyDescent="0.3">
      <c r="A35" s="6">
        <v>24</v>
      </c>
      <c r="B35" s="38">
        <v>10</v>
      </c>
      <c r="C35" s="12" t="s">
        <v>80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63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66"/>
      <c r="P35" s="1">
        <v>1</v>
      </c>
      <c r="Q35" s="1">
        <v>1</v>
      </c>
      <c r="R35" s="1">
        <v>1</v>
      </c>
      <c r="S35" s="1">
        <v>1</v>
      </c>
      <c r="T35" s="66"/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66"/>
      <c r="AA35" s="4">
        <f t="shared" si="0"/>
        <v>19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1</v>
      </c>
    </row>
    <row r="36" spans="1:31" ht="18" x14ac:dyDescent="0.3">
      <c r="A36" s="6">
        <v>25</v>
      </c>
      <c r="B36" s="38">
        <v>10</v>
      </c>
      <c r="C36" s="12" t="s">
        <v>81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4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67"/>
      <c r="P36" s="1">
        <v>1</v>
      </c>
      <c r="Q36" s="1">
        <v>1</v>
      </c>
      <c r="R36" s="1">
        <v>1</v>
      </c>
      <c r="S36" s="1">
        <v>1</v>
      </c>
      <c r="T36" s="67"/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67"/>
      <c r="AA36" s="4">
        <f t="shared" si="0"/>
        <v>19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1</v>
      </c>
    </row>
    <row r="37" spans="1:31" ht="18" x14ac:dyDescent="0.3">
      <c r="A37" s="6">
        <v>26</v>
      </c>
      <c r="B37" s="38">
        <v>10</v>
      </c>
      <c r="C37" s="12" t="s">
        <v>82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P37" s="1">
        <v>1</v>
      </c>
      <c r="Q37" s="1">
        <v>1</v>
      </c>
      <c r="R37" s="1">
        <v>1</v>
      </c>
      <c r="S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</row>
    <row r="38" spans="1:31" ht="18" x14ac:dyDescent="0.3">
      <c r="A38" s="6">
        <v>27</v>
      </c>
      <c r="B38" s="38">
        <v>10</v>
      </c>
      <c r="C38" s="12" t="s">
        <v>83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P38" s="1">
        <v>1</v>
      </c>
      <c r="Q38" s="1">
        <v>1</v>
      </c>
      <c r="R38" s="1">
        <v>1</v>
      </c>
      <c r="S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</row>
    <row r="39" spans="1:31" ht="18" x14ac:dyDescent="0.3">
      <c r="A39" s="6">
        <v>28</v>
      </c>
      <c r="B39" s="38">
        <v>11</v>
      </c>
      <c r="C39" s="12" t="s">
        <v>84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P39" s="1">
        <v>1</v>
      </c>
      <c r="Q39" s="1">
        <v>1</v>
      </c>
      <c r="R39" s="1">
        <v>1</v>
      </c>
      <c r="S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</row>
  </sheetData>
  <mergeCells count="25">
    <mergeCell ref="AD1:AE7"/>
    <mergeCell ref="Y9:AE9"/>
    <mergeCell ref="AC10:AE10"/>
    <mergeCell ref="A8:AE8"/>
    <mergeCell ref="A1:B7"/>
    <mergeCell ref="C1:AC1"/>
    <mergeCell ref="A10:B10"/>
    <mergeCell ref="A9:B9"/>
    <mergeCell ref="C9:G9"/>
    <mergeCell ref="H9:J9"/>
    <mergeCell ref="K9:S9"/>
    <mergeCell ref="AA2:AC3"/>
    <mergeCell ref="AA4:AC5"/>
    <mergeCell ref="AA6:AC7"/>
    <mergeCell ref="C7:Z7"/>
    <mergeCell ref="C2:Z6"/>
    <mergeCell ref="C10:J10"/>
    <mergeCell ref="K10:S10"/>
    <mergeCell ref="T10:Z10"/>
    <mergeCell ref="AA10:AB10"/>
    <mergeCell ref="AH11:AO11"/>
    <mergeCell ref="I11:I36"/>
    <mergeCell ref="O11:O36"/>
    <mergeCell ref="T11:T36"/>
    <mergeCell ref="Z11:Z36"/>
  </mergeCells>
  <conditionalFormatting sqref="D12:H39">
    <cfRule type="cellIs" dxfId="895" priority="28" stopIfTrue="1" operator="equal">
      <formula>"T"</formula>
    </cfRule>
    <cfRule type="cellIs" dxfId="894" priority="30" operator="equal">
      <formula>"J"</formula>
    </cfRule>
  </conditionalFormatting>
  <conditionalFormatting sqref="D11:Y11 I12:I36 O12:O36 T12:T36">
    <cfRule type="cellIs" dxfId="893" priority="31" stopIfTrue="1" operator="equal">
      <formula>"T"</formula>
    </cfRule>
  </conditionalFormatting>
  <conditionalFormatting sqref="I11 Z11">
    <cfRule type="cellIs" dxfId="892" priority="33" operator="equal">
      <formula>"T"</formula>
    </cfRule>
  </conditionalFormatting>
  <conditionalFormatting sqref="I11:I36">
    <cfRule type="cellIs" dxfId="891" priority="39" operator="equal">
      <formula>"J"</formula>
    </cfRule>
  </conditionalFormatting>
  <conditionalFormatting sqref="J12:N39">
    <cfRule type="cellIs" dxfId="890" priority="25" stopIfTrue="1" operator="equal">
      <formula>"T"</formula>
    </cfRule>
    <cfRule type="cellIs" dxfId="889" priority="27" operator="equal">
      <formula>"J"</formula>
    </cfRule>
  </conditionalFormatting>
  <conditionalFormatting sqref="P12:S39">
    <cfRule type="cellIs" dxfId="888" priority="13" stopIfTrue="1" operator="equal">
      <formula>"T"</formula>
    </cfRule>
    <cfRule type="cellIs" dxfId="887" priority="15" operator="equal">
      <formula>"J"</formula>
    </cfRule>
  </conditionalFormatting>
  <conditionalFormatting sqref="U12:Y39">
    <cfRule type="cellIs" dxfId="886" priority="1" stopIfTrue="1" operator="equal">
      <formula>"T"</formula>
    </cfRule>
    <cfRule type="cellIs" dxfId="885" priority="3" operator="equal">
      <formula>"J"</formula>
    </cfRule>
  </conditionalFormatting>
  <dataValidations count="1">
    <dataValidation type="list" allowBlank="1" showInputMessage="1" showErrorMessage="1" sqref="D12:H39 J12:N39 P12:S39 U12:Y39" xr:uid="{D0B1B2CD-50E5-4A62-B589-99EE610EF4F3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48C81532-F15F-4815-9C08-05B1ADF6D8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D12:H39</xm:sqref>
        </x14:conditionalFormatting>
        <x14:conditionalFormatting xmlns:xm="http://schemas.microsoft.com/office/excel/2006/main">
          <x14:cfRule type="iconSet" priority="36" id="{FC26523D-64D9-4DFB-8308-557CA66233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D40:Z63 I37:I39 O37:O39 T37:T39 Z37:Z39</xm:sqref>
        </x14:conditionalFormatting>
        <x14:conditionalFormatting xmlns:xm="http://schemas.microsoft.com/office/excel/2006/main">
          <x14:cfRule type="iconSet" priority="37" id="{DDB21521-AF76-454B-A06E-16BFA86454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</xm:sqref>
        </x14:conditionalFormatting>
        <x14:conditionalFormatting xmlns:xm="http://schemas.microsoft.com/office/excel/2006/main">
          <x14:cfRule type="iconSet" priority="38" id="{02A229BB-7418-4FE5-928C-09ADDD942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I11:I36</xm:sqref>
        </x14:conditionalFormatting>
        <x14:conditionalFormatting xmlns:xm="http://schemas.microsoft.com/office/excel/2006/main">
          <x14:cfRule type="iconSet" priority="26" id="{D3B3B8D7-1541-455E-B531-B8B4ECC838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J12:N39</xm:sqref>
        </x14:conditionalFormatting>
        <x14:conditionalFormatting xmlns:xm="http://schemas.microsoft.com/office/excel/2006/main">
          <x14:cfRule type="iconSet" priority="23" id="{CE5E4B8A-318B-4C96-A44C-9C0420C604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P12:P39</xm:sqref>
        </x14:conditionalFormatting>
        <x14:conditionalFormatting xmlns:xm="http://schemas.microsoft.com/office/excel/2006/main">
          <x14:cfRule type="iconSet" priority="20" id="{64AD8341-525B-4AB6-ABB5-93E833817F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Q12:Q39</xm:sqref>
        </x14:conditionalFormatting>
        <x14:conditionalFormatting xmlns:xm="http://schemas.microsoft.com/office/excel/2006/main">
          <x14:cfRule type="iconSet" priority="17" id="{3950B40A-2183-4FF9-B533-E31E98711B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R12:R39</xm:sqref>
        </x14:conditionalFormatting>
        <x14:conditionalFormatting xmlns:xm="http://schemas.microsoft.com/office/excel/2006/main">
          <x14:cfRule type="iconSet" priority="14" id="{6B780B95-AB80-4E07-92DD-CBCB74F9C2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S12:S39</xm:sqref>
        </x14:conditionalFormatting>
        <x14:conditionalFormatting xmlns:xm="http://schemas.microsoft.com/office/excel/2006/main">
          <x14:cfRule type="iconSet" priority="11" id="{E039C138-AB97-499E-98C2-B1E19B1C78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U12:U39</xm:sqref>
        </x14:conditionalFormatting>
        <x14:conditionalFormatting xmlns:xm="http://schemas.microsoft.com/office/excel/2006/main">
          <x14:cfRule type="iconSet" priority="8" id="{2F13184E-898F-446B-9591-BC623384FA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V12:V39</xm:sqref>
        </x14:conditionalFormatting>
        <x14:conditionalFormatting xmlns:xm="http://schemas.microsoft.com/office/excel/2006/main">
          <x14:cfRule type="iconSet" priority="5" id="{95A0CEE6-D751-4117-855E-AC51868580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W12:W39</xm:sqref>
        </x14:conditionalFormatting>
        <x14:conditionalFormatting xmlns:xm="http://schemas.microsoft.com/office/excel/2006/main">
          <x14:cfRule type="iconSet" priority="2" id="{5D1D258B-27BE-42C6-B4EE-BE7466EC5B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X12:Y39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1C2A-2CCD-44E2-973F-ED1DCA763BE3}">
  <sheetPr codeName="Hoja6"/>
  <dimension ref="A1:AN39"/>
  <sheetViews>
    <sheetView topLeftCell="A4" zoomScale="90" zoomScaleNormal="90" workbookViewId="0">
      <selection activeCell="D23" sqref="D23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0" style="13" bestFit="1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14" width="4.21875" customWidth="1"/>
    <col min="15" max="25" width="3.21875" customWidth="1"/>
    <col min="26" max="26" width="11.77734375" customWidth="1"/>
    <col min="27" max="27" width="7.33203125" bestFit="1" customWidth="1"/>
    <col min="28" max="28" width="7" bestFit="1" customWidth="1"/>
    <col min="29" max="29" width="14.77734375" bestFit="1" customWidth="1"/>
    <col min="30" max="30" width="13.77734375" bestFit="1" customWidth="1"/>
  </cols>
  <sheetData>
    <row r="1" spans="1:40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34"/>
    </row>
    <row r="2" spans="1:40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66"/>
    </row>
    <row r="3" spans="1:40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66"/>
    </row>
    <row r="4" spans="1:40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66"/>
    </row>
    <row r="5" spans="1:40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66"/>
    </row>
    <row r="6" spans="1:40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66"/>
    </row>
    <row r="7" spans="1:40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66"/>
    </row>
    <row r="8" spans="1:40" x14ac:dyDescent="0.3">
      <c r="A8" s="63"/>
      <c r="B8" s="70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74"/>
    </row>
    <row r="9" spans="1:40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7"/>
      <c r="Z9" s="57"/>
      <c r="AA9" s="57"/>
      <c r="AB9" s="57"/>
      <c r="AC9" s="57"/>
      <c r="AD9" s="57"/>
    </row>
    <row r="10" spans="1:40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7"/>
      <c r="AD10" s="57"/>
    </row>
    <row r="11" spans="1:40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60"/>
      <c r="J11" s="1">
        <v>9</v>
      </c>
      <c r="K11" s="1">
        <v>10</v>
      </c>
      <c r="L11" s="1">
        <v>11</v>
      </c>
      <c r="M11" s="1">
        <v>12</v>
      </c>
      <c r="N11" s="60"/>
      <c r="O11" s="1">
        <v>16</v>
      </c>
      <c r="P11" s="1">
        <v>17</v>
      </c>
      <c r="Q11" s="1">
        <v>18</v>
      </c>
      <c r="R11" s="1">
        <v>19</v>
      </c>
      <c r="S11" s="1">
        <v>23</v>
      </c>
      <c r="T11" s="1">
        <v>26</v>
      </c>
      <c r="U11" s="1">
        <v>24</v>
      </c>
      <c r="V11" s="1">
        <v>25</v>
      </c>
      <c r="W11" s="1">
        <v>26</v>
      </c>
      <c r="X11" s="1">
        <v>29</v>
      </c>
      <c r="Y11" s="1">
        <v>30</v>
      </c>
      <c r="Z11" s="1" t="s">
        <v>1</v>
      </c>
      <c r="AA11" s="1" t="s">
        <v>2</v>
      </c>
      <c r="AB11" s="1" t="s">
        <v>3</v>
      </c>
      <c r="AC11" s="1" t="s">
        <v>4</v>
      </c>
      <c r="AD11" s="1" t="s">
        <v>5</v>
      </c>
      <c r="AG11" s="71" t="s">
        <v>9</v>
      </c>
      <c r="AH11" s="72"/>
      <c r="AI11" s="72"/>
      <c r="AJ11" s="72"/>
      <c r="AK11" s="72"/>
      <c r="AL11" s="72"/>
      <c r="AM11" s="72"/>
      <c r="AN11" s="73"/>
    </row>
    <row r="12" spans="1:40" s="3" customFormat="1" x14ac:dyDescent="0.3">
      <c r="A12" s="6">
        <v>1</v>
      </c>
      <c r="B12" s="47">
        <v>6</v>
      </c>
      <c r="C12" s="53" t="s">
        <v>57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63"/>
      <c r="J12" s="1">
        <v>1</v>
      </c>
      <c r="K12" s="1">
        <v>1</v>
      </c>
      <c r="L12" s="1">
        <v>1</v>
      </c>
      <c r="M12" s="1"/>
      <c r="N12" s="63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4">
        <f t="shared" ref="Z12:Z36" si="0">COUNTIF(D12:Y12,1)</f>
        <v>8</v>
      </c>
      <c r="AA12" s="4">
        <f t="shared" ref="AA12:AA36" si="1">COUNTIF(D12:Y12,0)</f>
        <v>0</v>
      </c>
      <c r="AB12" s="4">
        <f t="shared" ref="AB12:AB36" si="2">COUNTIF(D12:Y12,"T")</f>
        <v>0</v>
      </c>
      <c r="AC12" s="4">
        <f t="shared" ref="AC12:AC36" si="3">COUNTIF(D12:Y12,"J")</f>
        <v>0</v>
      </c>
      <c r="AD12" s="10">
        <f>SUM(Z12+AB12)/9</f>
        <v>0.88888888888888884</v>
      </c>
      <c r="AG12" s="17"/>
      <c r="AH12" s="14">
        <v>1</v>
      </c>
      <c r="AI12" s="3" t="s">
        <v>10</v>
      </c>
      <c r="AJ12" s="8"/>
      <c r="AK12" s="8"/>
      <c r="AN12" s="18"/>
    </row>
    <row r="13" spans="1:40" s="3" customFormat="1" x14ac:dyDescent="0.3">
      <c r="A13" s="6">
        <v>2</v>
      </c>
      <c r="B13" s="47">
        <v>6</v>
      </c>
      <c r="C13" s="53" t="s">
        <v>58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63"/>
      <c r="J13" s="1">
        <v>1</v>
      </c>
      <c r="K13" s="1">
        <v>1</v>
      </c>
      <c r="L13" s="1">
        <v>0</v>
      </c>
      <c r="M13" s="1"/>
      <c r="N13" s="63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4">
        <f t="shared" si="0"/>
        <v>7</v>
      </c>
      <c r="AA13" s="4">
        <f t="shared" si="1"/>
        <v>1</v>
      </c>
      <c r="AB13" s="4">
        <f t="shared" si="2"/>
        <v>0</v>
      </c>
      <c r="AC13" s="4">
        <f t="shared" si="3"/>
        <v>0</v>
      </c>
      <c r="AD13" s="10">
        <f t="shared" ref="AD13:AD36" si="4">SUM(Z13+AB13)/9</f>
        <v>0.77777777777777779</v>
      </c>
      <c r="AG13" s="17"/>
      <c r="AH13" s="15">
        <v>0</v>
      </c>
      <c r="AI13" s="3" t="s">
        <v>14</v>
      </c>
      <c r="AN13" s="18"/>
    </row>
    <row r="14" spans="1:40" s="3" customFormat="1" x14ac:dyDescent="0.3">
      <c r="A14" s="6">
        <v>3</v>
      </c>
      <c r="B14" s="47">
        <v>6</v>
      </c>
      <c r="C14" s="53" t="s">
        <v>59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63"/>
      <c r="J14" s="1">
        <v>1</v>
      </c>
      <c r="K14" s="1">
        <v>1</v>
      </c>
      <c r="L14" s="1">
        <v>1</v>
      </c>
      <c r="M14" s="1"/>
      <c r="N14" s="63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4">
        <f t="shared" si="0"/>
        <v>8</v>
      </c>
      <c r="AA14" s="4">
        <f t="shared" si="1"/>
        <v>0</v>
      </c>
      <c r="AB14" s="4">
        <f t="shared" si="2"/>
        <v>0</v>
      </c>
      <c r="AC14" s="4">
        <f t="shared" si="3"/>
        <v>0</v>
      </c>
      <c r="AD14" s="10">
        <f t="shared" si="4"/>
        <v>0.88888888888888884</v>
      </c>
      <c r="AG14" s="17"/>
      <c r="AH14" s="16" t="s">
        <v>11</v>
      </c>
      <c r="AI14" s="3" t="s">
        <v>12</v>
      </c>
      <c r="AN14" s="18"/>
    </row>
    <row r="15" spans="1:40" ht="15" thickBot="1" x14ac:dyDescent="0.35">
      <c r="A15" s="6">
        <v>4</v>
      </c>
      <c r="B15" s="47">
        <v>7</v>
      </c>
      <c r="C15" s="53" t="s">
        <v>60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63"/>
      <c r="J15" s="1">
        <v>1</v>
      </c>
      <c r="K15" s="1">
        <v>1</v>
      </c>
      <c r="L15" s="1">
        <v>1</v>
      </c>
      <c r="M15" s="1"/>
      <c r="N15" s="63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4">
        <f t="shared" si="0"/>
        <v>8</v>
      </c>
      <c r="AA15" s="4">
        <f t="shared" si="1"/>
        <v>0</v>
      </c>
      <c r="AB15" s="4">
        <f t="shared" si="2"/>
        <v>0</v>
      </c>
      <c r="AC15" s="4">
        <f t="shared" si="3"/>
        <v>0</v>
      </c>
      <c r="AD15" s="10">
        <f t="shared" si="4"/>
        <v>0.88888888888888884</v>
      </c>
      <c r="AG15" s="19"/>
      <c r="AH15" s="20" t="s">
        <v>6</v>
      </c>
      <c r="AI15" s="21" t="s">
        <v>13</v>
      </c>
      <c r="AJ15" s="22"/>
      <c r="AK15" s="22"/>
      <c r="AL15" s="22"/>
      <c r="AM15" s="22"/>
      <c r="AN15" s="23"/>
    </row>
    <row r="16" spans="1:40" x14ac:dyDescent="0.3">
      <c r="A16" s="6">
        <v>5</v>
      </c>
      <c r="B16" s="47">
        <v>7</v>
      </c>
      <c r="C16" s="53" t="s">
        <v>61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63"/>
      <c r="J16" s="1">
        <v>1</v>
      </c>
      <c r="K16" s="1">
        <v>1</v>
      </c>
      <c r="L16" s="1">
        <v>1</v>
      </c>
      <c r="M16" s="1"/>
      <c r="N16" s="63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4">
        <f t="shared" si="0"/>
        <v>8</v>
      </c>
      <c r="AA16" s="4">
        <f t="shared" si="1"/>
        <v>0</v>
      </c>
      <c r="AB16" s="4">
        <f t="shared" si="2"/>
        <v>0</v>
      </c>
      <c r="AC16" s="4">
        <f t="shared" si="3"/>
        <v>0</v>
      </c>
      <c r="AD16" s="10">
        <f t="shared" si="4"/>
        <v>0.88888888888888884</v>
      </c>
      <c r="AH16" t="s">
        <v>50</v>
      </c>
      <c r="AI16" s="3" t="s">
        <v>51</v>
      </c>
    </row>
    <row r="17" spans="1:38" x14ac:dyDescent="0.3">
      <c r="A17" s="6">
        <v>6</v>
      </c>
      <c r="B17" s="47">
        <v>7</v>
      </c>
      <c r="C17" s="53" t="s">
        <v>62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63"/>
      <c r="J17" s="1">
        <v>1</v>
      </c>
      <c r="K17" s="1">
        <v>1</v>
      </c>
      <c r="L17" s="1">
        <v>1</v>
      </c>
      <c r="M17" s="1"/>
      <c r="N17" s="63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4">
        <f t="shared" si="0"/>
        <v>8</v>
      </c>
      <c r="AA17" s="4">
        <f t="shared" si="1"/>
        <v>0</v>
      </c>
      <c r="AB17" s="4">
        <f t="shared" si="2"/>
        <v>0</v>
      </c>
      <c r="AC17" s="4">
        <f t="shared" si="3"/>
        <v>0</v>
      </c>
      <c r="AD17" s="10">
        <f t="shared" si="4"/>
        <v>0.88888888888888884</v>
      </c>
    </row>
    <row r="18" spans="1:38" x14ac:dyDescent="0.3">
      <c r="A18" s="6">
        <v>7</v>
      </c>
      <c r="B18" s="47">
        <v>7</v>
      </c>
      <c r="C18" s="53" t="s">
        <v>63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63"/>
      <c r="J18" s="1">
        <v>1</v>
      </c>
      <c r="K18" s="1">
        <v>1</v>
      </c>
      <c r="L18" s="1">
        <v>1</v>
      </c>
      <c r="M18" s="1"/>
      <c r="N18" s="63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4">
        <f t="shared" si="0"/>
        <v>8</v>
      </c>
      <c r="AA18" s="4">
        <f t="shared" si="1"/>
        <v>0</v>
      </c>
      <c r="AB18" s="4">
        <f t="shared" si="2"/>
        <v>0</v>
      </c>
      <c r="AC18" s="4">
        <f t="shared" si="3"/>
        <v>0</v>
      </c>
      <c r="AD18" s="10">
        <f t="shared" si="4"/>
        <v>0.88888888888888884</v>
      </c>
      <c r="AI18" s="8"/>
      <c r="AK18" s="3"/>
      <c r="AL18" s="3"/>
    </row>
    <row r="19" spans="1:38" x14ac:dyDescent="0.3">
      <c r="A19" s="6">
        <v>8</v>
      </c>
      <c r="B19" s="47">
        <v>7</v>
      </c>
      <c r="C19" s="53" t="s">
        <v>64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63"/>
      <c r="J19" s="1">
        <v>1</v>
      </c>
      <c r="K19" s="1">
        <v>1</v>
      </c>
      <c r="L19" s="1">
        <v>1</v>
      </c>
      <c r="M19" s="1"/>
      <c r="N19" s="63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4">
        <f t="shared" si="0"/>
        <v>8</v>
      </c>
      <c r="AA19" s="4">
        <f t="shared" si="1"/>
        <v>0</v>
      </c>
      <c r="AB19" s="4">
        <f t="shared" si="2"/>
        <v>0</v>
      </c>
      <c r="AC19" s="4">
        <f t="shared" si="3"/>
        <v>0</v>
      </c>
      <c r="AD19" s="10">
        <f t="shared" si="4"/>
        <v>0.88888888888888884</v>
      </c>
      <c r="AI19" s="8"/>
    </row>
    <row r="20" spans="1:38" x14ac:dyDescent="0.3">
      <c r="A20" s="6">
        <v>9</v>
      </c>
      <c r="B20" s="47">
        <v>7</v>
      </c>
      <c r="C20" s="53" t="s">
        <v>65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63"/>
      <c r="J20" s="1">
        <v>1</v>
      </c>
      <c r="K20" s="1">
        <v>1</v>
      </c>
      <c r="L20" s="1">
        <v>1</v>
      </c>
      <c r="M20" s="1"/>
      <c r="N20" s="63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4">
        <f t="shared" si="0"/>
        <v>8</v>
      </c>
      <c r="AA20" s="4">
        <f t="shared" si="1"/>
        <v>0</v>
      </c>
      <c r="AB20" s="4">
        <f t="shared" si="2"/>
        <v>0</v>
      </c>
      <c r="AC20" s="4">
        <f t="shared" si="3"/>
        <v>0</v>
      </c>
      <c r="AD20" s="10">
        <f t="shared" si="4"/>
        <v>0.88888888888888884</v>
      </c>
      <c r="AI20" s="8"/>
      <c r="AJ20" s="3"/>
      <c r="AK20" s="3"/>
      <c r="AL20" s="3"/>
    </row>
    <row r="21" spans="1:38" x14ac:dyDescent="0.3">
      <c r="A21" s="6">
        <v>10</v>
      </c>
      <c r="B21" s="47">
        <v>7</v>
      </c>
      <c r="C21" s="53" t="s">
        <v>66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63"/>
      <c r="J21" s="1">
        <v>1</v>
      </c>
      <c r="K21" s="1">
        <v>1</v>
      </c>
      <c r="L21" s="1">
        <v>1</v>
      </c>
      <c r="M21" s="1"/>
      <c r="N21" s="63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4">
        <f t="shared" si="0"/>
        <v>7</v>
      </c>
      <c r="AA21" s="4">
        <f t="shared" si="1"/>
        <v>1</v>
      </c>
      <c r="AB21" s="4">
        <f t="shared" si="2"/>
        <v>0</v>
      </c>
      <c r="AC21" s="4">
        <f t="shared" si="3"/>
        <v>0</v>
      </c>
      <c r="AD21" s="10">
        <f t="shared" si="4"/>
        <v>0.77777777777777779</v>
      </c>
      <c r="AI21" s="7"/>
    </row>
    <row r="22" spans="1:38" x14ac:dyDescent="0.3">
      <c r="A22" s="6">
        <v>11</v>
      </c>
      <c r="B22" s="47">
        <v>8</v>
      </c>
      <c r="C22" s="53" t="s">
        <v>67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63"/>
      <c r="J22" s="1">
        <v>1</v>
      </c>
      <c r="K22" s="1">
        <v>1</v>
      </c>
      <c r="L22" s="1">
        <v>1</v>
      </c>
      <c r="M22" s="1"/>
      <c r="N22" s="63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4">
        <f t="shared" si="0"/>
        <v>8</v>
      </c>
      <c r="AA22" s="4">
        <f t="shared" si="1"/>
        <v>0</v>
      </c>
      <c r="AB22" s="4">
        <f t="shared" si="2"/>
        <v>0</v>
      </c>
      <c r="AC22" s="4">
        <f t="shared" si="3"/>
        <v>0</v>
      </c>
      <c r="AD22" s="10">
        <f t="shared" si="4"/>
        <v>0.88888888888888884</v>
      </c>
    </row>
    <row r="23" spans="1:38" x14ac:dyDescent="0.3">
      <c r="A23" s="6">
        <v>12</v>
      </c>
      <c r="B23" s="47">
        <v>8</v>
      </c>
      <c r="C23" s="53" t="s">
        <v>68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63"/>
      <c r="J23" s="1">
        <v>0</v>
      </c>
      <c r="K23" s="1">
        <v>0</v>
      </c>
      <c r="L23" s="1">
        <v>0</v>
      </c>
      <c r="M23" s="1"/>
      <c r="N23" s="63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4">
        <f t="shared" si="0"/>
        <v>0</v>
      </c>
      <c r="AA23" s="4">
        <f t="shared" si="1"/>
        <v>8</v>
      </c>
      <c r="AB23" s="4">
        <f t="shared" si="2"/>
        <v>0</v>
      </c>
      <c r="AC23" s="4">
        <f t="shared" si="3"/>
        <v>0</v>
      </c>
      <c r="AD23" s="10">
        <f t="shared" si="4"/>
        <v>0</v>
      </c>
    </row>
    <row r="24" spans="1:38" x14ac:dyDescent="0.3">
      <c r="A24" s="6">
        <v>13</v>
      </c>
      <c r="B24" s="47">
        <v>8</v>
      </c>
      <c r="C24" s="53" t="s">
        <v>69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63"/>
      <c r="J24" s="1">
        <v>0</v>
      </c>
      <c r="K24" s="1">
        <v>1</v>
      </c>
      <c r="L24" s="1">
        <v>1</v>
      </c>
      <c r="M24" s="4"/>
      <c r="N24" s="63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4">
        <f t="shared" si="0"/>
        <v>7</v>
      </c>
      <c r="AA24" s="4">
        <f t="shared" si="1"/>
        <v>1</v>
      </c>
      <c r="AB24" s="4">
        <f t="shared" si="2"/>
        <v>0</v>
      </c>
      <c r="AC24" s="4">
        <f t="shared" si="3"/>
        <v>0</v>
      </c>
      <c r="AD24" s="10">
        <f t="shared" si="4"/>
        <v>0.77777777777777779</v>
      </c>
    </row>
    <row r="25" spans="1:38" x14ac:dyDescent="0.3">
      <c r="A25" s="6">
        <v>14</v>
      </c>
      <c r="B25" s="47">
        <v>8</v>
      </c>
      <c r="C25" s="53" t="s">
        <v>70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63"/>
      <c r="J25" s="1">
        <v>1</v>
      </c>
      <c r="K25" s="1">
        <v>1</v>
      </c>
      <c r="L25" s="1">
        <v>1</v>
      </c>
      <c r="M25" s="4"/>
      <c r="N25" s="63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4">
        <f t="shared" si="0"/>
        <v>8</v>
      </c>
      <c r="AA25" s="4">
        <f t="shared" si="1"/>
        <v>0</v>
      </c>
      <c r="AB25" s="4">
        <f t="shared" si="2"/>
        <v>0</v>
      </c>
      <c r="AC25" s="4">
        <f t="shared" si="3"/>
        <v>0</v>
      </c>
      <c r="AD25" s="10">
        <f t="shared" si="4"/>
        <v>0.88888888888888884</v>
      </c>
    </row>
    <row r="26" spans="1:38" x14ac:dyDescent="0.3">
      <c r="A26" s="6">
        <v>15</v>
      </c>
      <c r="B26" s="47">
        <v>8</v>
      </c>
      <c r="C26" s="53" t="s">
        <v>71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63"/>
      <c r="J26" s="1">
        <v>1</v>
      </c>
      <c r="K26" s="1">
        <v>1</v>
      </c>
      <c r="L26" s="1">
        <v>1</v>
      </c>
      <c r="M26" s="4"/>
      <c r="N26" s="63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4">
        <f t="shared" si="0"/>
        <v>8</v>
      </c>
      <c r="AA26" s="4">
        <f t="shared" si="1"/>
        <v>0</v>
      </c>
      <c r="AB26" s="4">
        <f t="shared" si="2"/>
        <v>0</v>
      </c>
      <c r="AC26" s="4">
        <f t="shared" si="3"/>
        <v>0</v>
      </c>
      <c r="AD26" s="10">
        <f t="shared" si="4"/>
        <v>0.88888888888888884</v>
      </c>
    </row>
    <row r="27" spans="1:38" x14ac:dyDescent="0.3">
      <c r="A27" s="6">
        <v>16</v>
      </c>
      <c r="B27" s="54">
        <v>9</v>
      </c>
      <c r="C27" s="53" t="s">
        <v>72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63"/>
      <c r="J27" s="1">
        <v>1</v>
      </c>
      <c r="K27" s="1">
        <v>1</v>
      </c>
      <c r="L27" s="1">
        <v>1</v>
      </c>
      <c r="M27" s="4"/>
      <c r="N27" s="63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4">
        <f t="shared" si="0"/>
        <v>8</v>
      </c>
      <c r="AA27" s="4">
        <f t="shared" si="1"/>
        <v>0</v>
      </c>
      <c r="AB27" s="4">
        <f t="shared" si="2"/>
        <v>0</v>
      </c>
      <c r="AC27" s="4">
        <f t="shared" si="3"/>
        <v>0</v>
      </c>
      <c r="AD27" s="10">
        <f t="shared" si="4"/>
        <v>0.88888888888888884</v>
      </c>
    </row>
    <row r="28" spans="1:38" x14ac:dyDescent="0.3">
      <c r="A28" s="6">
        <v>17</v>
      </c>
      <c r="B28" s="54">
        <v>9</v>
      </c>
      <c r="C28" s="53" t="s">
        <v>73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63"/>
      <c r="J28" s="1">
        <v>1</v>
      </c>
      <c r="K28" s="1">
        <v>1</v>
      </c>
      <c r="L28" s="1">
        <v>1</v>
      </c>
      <c r="M28" s="4"/>
      <c r="N28" s="63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4">
        <f t="shared" si="0"/>
        <v>8</v>
      </c>
      <c r="AA28" s="4">
        <f t="shared" si="1"/>
        <v>0</v>
      </c>
      <c r="AB28" s="4">
        <f t="shared" si="2"/>
        <v>0</v>
      </c>
      <c r="AC28" s="4">
        <f t="shared" si="3"/>
        <v>0</v>
      </c>
      <c r="AD28" s="10">
        <f t="shared" si="4"/>
        <v>0.88888888888888884</v>
      </c>
    </row>
    <row r="29" spans="1:38" x14ac:dyDescent="0.3">
      <c r="A29" s="6">
        <v>18</v>
      </c>
      <c r="B29" s="54">
        <v>9</v>
      </c>
      <c r="C29" s="53" t="s">
        <v>74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63"/>
      <c r="J29" s="1">
        <v>1</v>
      </c>
      <c r="K29" s="1">
        <v>1</v>
      </c>
      <c r="L29" s="1">
        <v>1</v>
      </c>
      <c r="M29" s="4"/>
      <c r="N29" s="63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4">
        <f t="shared" si="0"/>
        <v>8</v>
      </c>
      <c r="AA29" s="4">
        <f t="shared" si="1"/>
        <v>0</v>
      </c>
      <c r="AB29" s="4">
        <f t="shared" si="2"/>
        <v>0</v>
      </c>
      <c r="AC29" s="4">
        <f t="shared" si="3"/>
        <v>0</v>
      </c>
      <c r="AD29" s="10">
        <f t="shared" si="4"/>
        <v>0.88888888888888884</v>
      </c>
    </row>
    <row r="30" spans="1:38" x14ac:dyDescent="0.3">
      <c r="A30" s="6">
        <v>19</v>
      </c>
      <c r="B30" s="54">
        <v>9</v>
      </c>
      <c r="C30" s="53" t="s">
        <v>75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63"/>
      <c r="J30" s="1">
        <v>1</v>
      </c>
      <c r="K30" s="1">
        <v>1</v>
      </c>
      <c r="L30" s="1">
        <v>1</v>
      </c>
      <c r="M30" s="4"/>
      <c r="N30" s="63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4">
        <f t="shared" si="0"/>
        <v>8</v>
      </c>
      <c r="AA30" s="4">
        <f t="shared" si="1"/>
        <v>0</v>
      </c>
      <c r="AB30" s="4">
        <f t="shared" si="2"/>
        <v>0</v>
      </c>
      <c r="AC30" s="4">
        <f t="shared" si="3"/>
        <v>0</v>
      </c>
      <c r="AD30" s="10">
        <f t="shared" si="4"/>
        <v>0.88888888888888884</v>
      </c>
    </row>
    <row r="31" spans="1:38" x14ac:dyDescent="0.3">
      <c r="A31" s="6">
        <v>20</v>
      </c>
      <c r="B31" s="54">
        <v>9</v>
      </c>
      <c r="C31" s="53" t="s">
        <v>76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63"/>
      <c r="J31" s="1">
        <v>1</v>
      </c>
      <c r="K31" s="1">
        <v>1</v>
      </c>
      <c r="L31" s="1">
        <v>1</v>
      </c>
      <c r="M31" s="4"/>
      <c r="N31" s="6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4">
        <f t="shared" si="0"/>
        <v>8</v>
      </c>
      <c r="AA31" s="4">
        <f t="shared" si="1"/>
        <v>0</v>
      </c>
      <c r="AB31" s="4">
        <f t="shared" si="2"/>
        <v>0</v>
      </c>
      <c r="AC31" s="4">
        <f t="shared" si="3"/>
        <v>0</v>
      </c>
      <c r="AD31" s="10">
        <f t="shared" si="4"/>
        <v>0.88888888888888884</v>
      </c>
    </row>
    <row r="32" spans="1:38" x14ac:dyDescent="0.3">
      <c r="A32" s="6">
        <v>21</v>
      </c>
      <c r="B32" s="54">
        <v>10</v>
      </c>
      <c r="C32" s="53" t="s">
        <v>77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63"/>
      <c r="J32" s="1">
        <v>1</v>
      </c>
      <c r="K32" s="1">
        <v>1</v>
      </c>
      <c r="L32" s="1">
        <v>1</v>
      </c>
      <c r="M32" s="4"/>
      <c r="N32" s="63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4">
        <f t="shared" si="0"/>
        <v>8</v>
      </c>
      <c r="AA32" s="4">
        <f t="shared" si="1"/>
        <v>0</v>
      </c>
      <c r="AB32" s="4">
        <f t="shared" si="2"/>
        <v>0</v>
      </c>
      <c r="AC32" s="4">
        <f t="shared" si="3"/>
        <v>0</v>
      </c>
      <c r="AD32" s="10">
        <f t="shared" si="4"/>
        <v>0.88888888888888884</v>
      </c>
    </row>
    <row r="33" spans="1:30" x14ac:dyDescent="0.3">
      <c r="A33" s="6">
        <v>22</v>
      </c>
      <c r="B33" s="54">
        <v>10</v>
      </c>
      <c r="C33" s="53" t="s">
        <v>78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63"/>
      <c r="J33" s="1">
        <v>1</v>
      </c>
      <c r="K33" s="1">
        <v>1</v>
      </c>
      <c r="L33" s="1">
        <v>1</v>
      </c>
      <c r="M33" s="4"/>
      <c r="N33" s="63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4">
        <f t="shared" si="0"/>
        <v>8</v>
      </c>
      <c r="AA33" s="4">
        <f t="shared" si="1"/>
        <v>0</v>
      </c>
      <c r="AB33" s="4">
        <f t="shared" si="2"/>
        <v>0</v>
      </c>
      <c r="AC33" s="4">
        <f t="shared" si="3"/>
        <v>0</v>
      </c>
      <c r="AD33" s="10">
        <f t="shared" si="4"/>
        <v>0.88888888888888884</v>
      </c>
    </row>
    <row r="34" spans="1:30" x14ac:dyDescent="0.3">
      <c r="A34" s="6">
        <v>23</v>
      </c>
      <c r="B34" s="54">
        <v>10</v>
      </c>
      <c r="C34" s="53" t="s">
        <v>79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63"/>
      <c r="J34" s="1">
        <v>1</v>
      </c>
      <c r="K34" s="1" t="s">
        <v>50</v>
      </c>
      <c r="L34" s="1">
        <v>1</v>
      </c>
      <c r="M34" s="4"/>
      <c r="N34" s="63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4">
        <f t="shared" si="0"/>
        <v>7</v>
      </c>
      <c r="AA34" s="4">
        <f t="shared" si="1"/>
        <v>0</v>
      </c>
      <c r="AB34" s="4">
        <f t="shared" si="2"/>
        <v>0</v>
      </c>
      <c r="AC34" s="4">
        <f t="shared" si="3"/>
        <v>0</v>
      </c>
      <c r="AD34" s="10">
        <f t="shared" si="4"/>
        <v>0.77777777777777779</v>
      </c>
    </row>
    <row r="35" spans="1:30" x14ac:dyDescent="0.3">
      <c r="A35" s="6">
        <v>24</v>
      </c>
      <c r="B35" s="54">
        <v>10</v>
      </c>
      <c r="C35" s="53" t="s">
        <v>80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63"/>
      <c r="J35" s="1">
        <v>1</v>
      </c>
      <c r="K35" s="1">
        <v>1</v>
      </c>
      <c r="L35" s="1">
        <v>1</v>
      </c>
      <c r="M35" s="4"/>
      <c r="N35" s="63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4">
        <f t="shared" si="0"/>
        <v>8</v>
      </c>
      <c r="AA35" s="4">
        <f t="shared" si="1"/>
        <v>0</v>
      </c>
      <c r="AB35" s="4">
        <f t="shared" si="2"/>
        <v>0</v>
      </c>
      <c r="AC35" s="4">
        <f t="shared" si="3"/>
        <v>0</v>
      </c>
      <c r="AD35" s="10">
        <f t="shared" si="4"/>
        <v>0.88888888888888884</v>
      </c>
    </row>
    <row r="36" spans="1:30" x14ac:dyDescent="0.3">
      <c r="A36" s="6">
        <v>25</v>
      </c>
      <c r="B36" s="54">
        <v>10</v>
      </c>
      <c r="C36" s="53" t="s">
        <v>81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3"/>
      <c r="J36" s="1">
        <v>1</v>
      </c>
      <c r="K36" s="1">
        <v>1</v>
      </c>
      <c r="L36" s="1">
        <v>1</v>
      </c>
      <c r="M36" s="4"/>
      <c r="N36" s="63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4">
        <f t="shared" si="0"/>
        <v>8</v>
      </c>
      <c r="AA36" s="4">
        <f t="shared" si="1"/>
        <v>0</v>
      </c>
      <c r="AB36" s="4">
        <f t="shared" si="2"/>
        <v>0</v>
      </c>
      <c r="AC36" s="4">
        <f t="shared" si="3"/>
        <v>0</v>
      </c>
      <c r="AD36" s="10">
        <f t="shared" si="4"/>
        <v>0.88888888888888884</v>
      </c>
    </row>
    <row r="37" spans="1:30" x14ac:dyDescent="0.3">
      <c r="A37" s="6">
        <v>26</v>
      </c>
      <c r="B37" s="54">
        <v>10</v>
      </c>
      <c r="C37" s="53" t="s">
        <v>82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63"/>
      <c r="J37" s="1">
        <v>1</v>
      </c>
      <c r="K37" s="1">
        <v>1</v>
      </c>
      <c r="L37" s="1">
        <v>1</v>
      </c>
      <c r="M37" s="4"/>
      <c r="N37" s="63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4">
        <f t="shared" ref="Z37:Z39" si="5">COUNTIF(D37:Y37,1)</f>
        <v>8</v>
      </c>
      <c r="AA37" s="4">
        <f t="shared" ref="AA37:AA39" si="6">COUNTIF(D37:Y37,0)</f>
        <v>0</v>
      </c>
      <c r="AB37" s="4">
        <f t="shared" ref="AB37:AB39" si="7">COUNTIF(D37:Y37,"T")</f>
        <v>0</v>
      </c>
      <c r="AC37" s="4">
        <f t="shared" ref="AC37:AC39" si="8">COUNTIF(D37:Y37,"J")</f>
        <v>0</v>
      </c>
      <c r="AD37" s="10">
        <f t="shared" ref="AD37:AD39" si="9">SUM(Z37+AB37)/9</f>
        <v>0.88888888888888884</v>
      </c>
    </row>
    <row r="38" spans="1:30" x14ac:dyDescent="0.3">
      <c r="A38" s="6">
        <v>27</v>
      </c>
      <c r="B38" s="54">
        <v>10</v>
      </c>
      <c r="C38" s="53" t="s">
        <v>83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63"/>
      <c r="J38" s="1">
        <v>1</v>
      </c>
      <c r="K38" s="1">
        <v>1</v>
      </c>
      <c r="L38" s="1">
        <v>1</v>
      </c>
      <c r="M38" s="4"/>
      <c r="N38" s="63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4">
        <f t="shared" si="5"/>
        <v>8</v>
      </c>
      <c r="AA38" s="4">
        <f t="shared" si="6"/>
        <v>0</v>
      </c>
      <c r="AB38" s="4">
        <f t="shared" si="7"/>
        <v>0</v>
      </c>
      <c r="AC38" s="4">
        <f t="shared" si="8"/>
        <v>0</v>
      </c>
      <c r="AD38" s="10">
        <f t="shared" si="9"/>
        <v>0.88888888888888884</v>
      </c>
    </row>
    <row r="39" spans="1:30" x14ac:dyDescent="0.3">
      <c r="A39" s="6">
        <v>28</v>
      </c>
      <c r="B39" s="54">
        <v>11</v>
      </c>
      <c r="C39" s="53" t="s">
        <v>84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63"/>
      <c r="J39" s="1">
        <v>1</v>
      </c>
      <c r="K39" s="1">
        <v>1</v>
      </c>
      <c r="L39" s="1">
        <v>1</v>
      </c>
      <c r="M39" s="4"/>
      <c r="N39" s="63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4">
        <f t="shared" si="5"/>
        <v>8</v>
      </c>
      <c r="AA39" s="4">
        <f t="shared" si="6"/>
        <v>0</v>
      </c>
      <c r="AB39" s="4">
        <f t="shared" si="7"/>
        <v>0</v>
      </c>
      <c r="AC39" s="4">
        <f t="shared" si="8"/>
        <v>0</v>
      </c>
      <c r="AD39" s="10">
        <f t="shared" si="9"/>
        <v>0.88888888888888884</v>
      </c>
    </row>
  </sheetData>
  <mergeCells count="24">
    <mergeCell ref="O12:Y39"/>
    <mergeCell ref="Y9:AD9"/>
    <mergeCell ref="C2:Z6"/>
    <mergeCell ref="AA6:AC7"/>
    <mergeCell ref="C7:Z7"/>
    <mergeCell ref="AA2:AC3"/>
    <mergeCell ref="AD2:AD7"/>
    <mergeCell ref="AA4:AC5"/>
    <mergeCell ref="AG11:AN11"/>
    <mergeCell ref="AC10:AD10"/>
    <mergeCell ref="A1:B7"/>
    <mergeCell ref="C1:AC1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I11:I39"/>
    <mergeCell ref="N11:N39"/>
  </mergeCells>
  <conditionalFormatting sqref="D12:H39">
    <cfRule type="cellIs" dxfId="884" priority="399" stopIfTrue="1" operator="equal">
      <formula>"T"</formula>
    </cfRule>
    <cfRule type="cellIs" dxfId="883" priority="401" operator="equal">
      <formula>"J"</formula>
    </cfRule>
  </conditionalFormatting>
  <conditionalFormatting sqref="G17">
    <cfRule type="cellIs" dxfId="882" priority="412" operator="equal">
      <formula>"T, t"</formula>
    </cfRule>
  </conditionalFormatting>
  <conditionalFormatting sqref="H24:H39">
    <cfRule type="cellIs" dxfId="881" priority="357" operator="equal">
      <formula>"T"</formula>
    </cfRule>
  </conditionalFormatting>
  <conditionalFormatting sqref="I11 O12 J12:M22 K23:M23 J25:J39 H12:H36 E13:H23">
    <cfRule type="cellIs" dxfId="880" priority="413" operator="equal">
      <formula>"T"</formula>
    </cfRule>
  </conditionalFormatting>
  <conditionalFormatting sqref="J12:J22 J25:J39">
    <cfRule type="cellIs" dxfId="879" priority="352" operator="equal">
      <formula>"J"</formula>
    </cfRule>
    <cfRule type="cellIs" dxfId="878" priority="351" stopIfTrue="1" operator="equal">
      <formula>"T"</formula>
    </cfRule>
  </conditionalFormatting>
  <conditionalFormatting sqref="J23">
    <cfRule type="cellIs" dxfId="877" priority="168" operator="equal">
      <formula>"J"</formula>
    </cfRule>
    <cfRule type="cellIs" dxfId="876" priority="166" stopIfTrue="1" operator="equal">
      <formula>"T"</formula>
    </cfRule>
  </conditionalFormatting>
  <conditionalFormatting sqref="J16:K22 K23:L23">
    <cfRule type="cellIs" dxfId="875" priority="414" stopIfTrue="1" operator="equal">
      <formula>"J"</formula>
    </cfRule>
  </conditionalFormatting>
  <conditionalFormatting sqref="J12:M22 J25:M39 K23:M23 D11:Y11 O12">
    <cfRule type="cellIs" dxfId="874" priority="411" stopIfTrue="1" operator="equal">
      <formula>"T"</formula>
    </cfRule>
  </conditionalFormatting>
  <conditionalFormatting sqref="J12:M22 K23:M23 I11 O12 J25:M39">
    <cfRule type="cellIs" dxfId="873" priority="419" operator="equal">
      <formula>"J"</formula>
    </cfRule>
  </conditionalFormatting>
  <conditionalFormatting sqref="J24:M24">
    <cfRule type="cellIs" dxfId="872" priority="347" operator="equal">
      <formula>"J"</formula>
    </cfRule>
    <cfRule type="cellIs" dxfId="871" priority="345" stopIfTrue="1" operator="equal">
      <formula>"T"</formula>
    </cfRule>
  </conditionalFormatting>
  <conditionalFormatting sqref="K13">
    <cfRule type="cellIs" dxfId="870" priority="337" operator="equal">
      <formula>"J"</formula>
    </cfRule>
    <cfRule type="cellIs" dxfId="869" priority="336" stopIfTrue="1" operator="equal">
      <formula>"T"</formula>
    </cfRule>
  </conditionalFormatting>
  <conditionalFormatting sqref="K14">
    <cfRule type="cellIs" dxfId="868" priority="330" stopIfTrue="1" operator="equal">
      <formula>"T"</formula>
    </cfRule>
    <cfRule type="cellIs" dxfId="867" priority="331" operator="equal">
      <formula>"J"</formula>
    </cfRule>
  </conditionalFormatting>
  <conditionalFormatting sqref="K15">
    <cfRule type="cellIs" dxfId="866" priority="325" stopIfTrue="1" operator="equal">
      <formula>"T"</formula>
    </cfRule>
    <cfRule type="cellIs" dxfId="865" priority="326" operator="equal">
      <formula>"J"</formula>
    </cfRule>
  </conditionalFormatting>
  <conditionalFormatting sqref="K16">
    <cfRule type="cellIs" dxfId="864" priority="321" operator="equal">
      <formula>"J"</formula>
    </cfRule>
    <cfRule type="cellIs" dxfId="863" priority="320" stopIfTrue="1" operator="equal">
      <formula>"T"</formula>
    </cfRule>
  </conditionalFormatting>
  <conditionalFormatting sqref="K17">
    <cfRule type="cellIs" dxfId="862" priority="315" stopIfTrue="1" operator="equal">
      <formula>"T"</formula>
    </cfRule>
    <cfRule type="cellIs" dxfId="861" priority="316" operator="equal">
      <formula>"J"</formula>
    </cfRule>
  </conditionalFormatting>
  <conditionalFormatting sqref="K18">
    <cfRule type="cellIs" dxfId="860" priority="310" stopIfTrue="1" operator="equal">
      <formula>"T"</formula>
    </cfRule>
    <cfRule type="cellIs" dxfId="859" priority="311" operator="equal">
      <formula>"J"</formula>
    </cfRule>
  </conditionalFormatting>
  <conditionalFormatting sqref="K19">
    <cfRule type="cellIs" dxfId="858" priority="306" operator="equal">
      <formula>"J"</formula>
    </cfRule>
    <cfRule type="cellIs" dxfId="857" priority="305" stopIfTrue="1" operator="equal">
      <formula>"T"</formula>
    </cfRule>
  </conditionalFormatting>
  <conditionalFormatting sqref="K20">
    <cfRule type="cellIs" dxfId="856" priority="300" stopIfTrue="1" operator="equal">
      <formula>"T"</formula>
    </cfRule>
    <cfRule type="cellIs" dxfId="855" priority="301" operator="equal">
      <formula>"J"</formula>
    </cfRule>
  </conditionalFormatting>
  <conditionalFormatting sqref="K21">
    <cfRule type="cellIs" dxfId="854" priority="296" operator="equal">
      <formula>"J"</formula>
    </cfRule>
    <cfRule type="cellIs" dxfId="853" priority="295" stopIfTrue="1" operator="equal">
      <formula>"T"</formula>
    </cfRule>
  </conditionalFormatting>
  <conditionalFormatting sqref="K22">
    <cfRule type="cellIs" dxfId="852" priority="291" operator="equal">
      <formula>"J"</formula>
    </cfRule>
    <cfRule type="cellIs" dxfId="851" priority="290" stopIfTrue="1" operator="equal">
      <formula>"T"</formula>
    </cfRule>
  </conditionalFormatting>
  <conditionalFormatting sqref="K25">
    <cfRule type="cellIs" dxfId="850" priority="271" operator="equal">
      <formula>"T"</formula>
    </cfRule>
    <cfRule type="cellIs" dxfId="849" priority="270" operator="equal">
      <formula>"J"</formula>
    </cfRule>
    <cfRule type="cellIs" dxfId="848" priority="269" stopIfTrue="1" operator="equal">
      <formula>"T"</formula>
    </cfRule>
  </conditionalFormatting>
  <conditionalFormatting sqref="K26">
    <cfRule type="cellIs" dxfId="847" priority="264" operator="equal">
      <formula>"T"</formula>
    </cfRule>
    <cfRule type="cellIs" dxfId="846" priority="262" stopIfTrue="1" operator="equal">
      <formula>"T"</formula>
    </cfRule>
    <cfRule type="cellIs" dxfId="845" priority="263" operator="equal">
      <formula>"J"</formula>
    </cfRule>
  </conditionalFormatting>
  <conditionalFormatting sqref="K27">
    <cfRule type="cellIs" dxfId="844" priority="256" operator="equal">
      <formula>"J"</formula>
    </cfRule>
    <cfRule type="cellIs" dxfId="843" priority="257" operator="equal">
      <formula>"T"</formula>
    </cfRule>
    <cfRule type="cellIs" dxfId="842" priority="255" stopIfTrue="1" operator="equal">
      <formula>"T"</formula>
    </cfRule>
  </conditionalFormatting>
  <conditionalFormatting sqref="K28">
    <cfRule type="cellIs" dxfId="841" priority="250" operator="equal">
      <formula>"T"</formula>
    </cfRule>
    <cfRule type="cellIs" dxfId="840" priority="249" operator="equal">
      <formula>"J"</formula>
    </cfRule>
    <cfRule type="cellIs" dxfId="839" priority="248" stopIfTrue="1" operator="equal">
      <formula>"T"</formula>
    </cfRule>
  </conditionalFormatting>
  <conditionalFormatting sqref="K29">
    <cfRule type="cellIs" dxfId="838" priority="241" stopIfTrue="1" operator="equal">
      <formula>"T"</formula>
    </cfRule>
    <cfRule type="cellIs" dxfId="837" priority="242" operator="equal">
      <formula>"J"</formula>
    </cfRule>
    <cfRule type="cellIs" dxfId="836" priority="243" operator="equal">
      <formula>"T"</formula>
    </cfRule>
  </conditionalFormatting>
  <conditionalFormatting sqref="K30">
    <cfRule type="cellIs" dxfId="835" priority="235" operator="equal">
      <formula>"J"</formula>
    </cfRule>
    <cfRule type="cellIs" dxfId="834" priority="236" operator="equal">
      <formula>"T"</formula>
    </cfRule>
    <cfRule type="cellIs" dxfId="833" priority="234" stopIfTrue="1" operator="equal">
      <formula>"T"</formula>
    </cfRule>
  </conditionalFormatting>
  <conditionalFormatting sqref="K31">
    <cfRule type="cellIs" dxfId="832" priority="229" operator="equal">
      <formula>"T"</formula>
    </cfRule>
    <cfRule type="cellIs" dxfId="831" priority="228" operator="equal">
      <formula>"J"</formula>
    </cfRule>
    <cfRule type="cellIs" dxfId="830" priority="227" stopIfTrue="1" operator="equal">
      <formula>"T"</formula>
    </cfRule>
  </conditionalFormatting>
  <conditionalFormatting sqref="K32">
    <cfRule type="cellIs" dxfId="829" priority="220" stopIfTrue="1" operator="equal">
      <formula>"T"</formula>
    </cfRule>
    <cfRule type="cellIs" dxfId="828" priority="221" operator="equal">
      <formula>"J"</formula>
    </cfRule>
    <cfRule type="cellIs" dxfId="827" priority="222" operator="equal">
      <formula>"T"</formula>
    </cfRule>
  </conditionalFormatting>
  <conditionalFormatting sqref="K33">
    <cfRule type="cellIs" dxfId="826" priority="215" operator="equal">
      <formula>"T"</formula>
    </cfRule>
    <cfRule type="cellIs" dxfId="825" priority="214" operator="equal">
      <formula>"J"</formula>
    </cfRule>
    <cfRule type="cellIs" dxfId="824" priority="213" stopIfTrue="1" operator="equal">
      <formula>"T"</formula>
    </cfRule>
  </conditionalFormatting>
  <conditionalFormatting sqref="K34">
    <cfRule type="cellIs" dxfId="823" priority="206" stopIfTrue="1" operator="equal">
      <formula>"T"</formula>
    </cfRule>
    <cfRule type="cellIs" dxfId="822" priority="207" operator="equal">
      <formula>"J"</formula>
    </cfRule>
    <cfRule type="cellIs" dxfId="821" priority="208" operator="equal">
      <formula>"T"</formula>
    </cfRule>
  </conditionalFormatting>
  <conditionalFormatting sqref="K35">
    <cfRule type="cellIs" dxfId="820" priority="200" operator="equal">
      <formula>"J"</formula>
    </cfRule>
    <cfRule type="cellIs" dxfId="819" priority="201" operator="equal">
      <formula>"T"</formula>
    </cfRule>
    <cfRule type="cellIs" dxfId="818" priority="199" stopIfTrue="1" operator="equal">
      <formula>"T"</formula>
    </cfRule>
  </conditionalFormatting>
  <conditionalFormatting sqref="K36">
    <cfRule type="cellIs" dxfId="817" priority="194" operator="equal">
      <formula>"T"</formula>
    </cfRule>
    <cfRule type="cellIs" dxfId="816" priority="193" operator="equal">
      <formula>"J"</formula>
    </cfRule>
    <cfRule type="cellIs" dxfId="815" priority="192" stopIfTrue="1" operator="equal">
      <formula>"T"</formula>
    </cfRule>
  </conditionalFormatting>
  <conditionalFormatting sqref="K37">
    <cfRule type="cellIs" dxfId="814" priority="187" operator="equal">
      <formula>"T"</formula>
    </cfRule>
    <cfRule type="cellIs" dxfId="813" priority="186" operator="equal">
      <formula>"J"</formula>
    </cfRule>
    <cfRule type="cellIs" dxfId="812" priority="185" stopIfTrue="1" operator="equal">
      <formula>"T"</formula>
    </cfRule>
  </conditionalFormatting>
  <conditionalFormatting sqref="K38">
    <cfRule type="cellIs" dxfId="811" priority="180" operator="equal">
      <formula>"T"</formula>
    </cfRule>
    <cfRule type="cellIs" dxfId="810" priority="179" operator="equal">
      <formula>"J"</formula>
    </cfRule>
    <cfRule type="cellIs" dxfId="809" priority="178" stopIfTrue="1" operator="equal">
      <formula>"T"</formula>
    </cfRule>
  </conditionalFormatting>
  <conditionalFormatting sqref="K39">
    <cfRule type="cellIs" dxfId="808" priority="173" operator="equal">
      <formula>"T"</formula>
    </cfRule>
    <cfRule type="cellIs" dxfId="807" priority="172" operator="equal">
      <formula>"J"</formula>
    </cfRule>
    <cfRule type="cellIs" dxfId="806" priority="171" stopIfTrue="1" operator="equal">
      <formula>"T"</formula>
    </cfRule>
  </conditionalFormatting>
  <conditionalFormatting sqref="K12:L12">
    <cfRule type="cellIs" dxfId="805" priority="343" operator="equal">
      <formula>"J"</formula>
    </cfRule>
    <cfRule type="cellIs" dxfId="804" priority="342" stopIfTrue="1" operator="equal">
      <formula>"T"</formula>
    </cfRule>
  </conditionalFormatting>
  <conditionalFormatting sqref="K23:L23">
    <cfRule type="cellIs" dxfId="803" priority="285" operator="equal">
      <formula>"J"</formula>
    </cfRule>
    <cfRule type="cellIs" dxfId="802" priority="284" stopIfTrue="1" operator="equal">
      <formula>"T"</formula>
    </cfRule>
  </conditionalFormatting>
  <conditionalFormatting sqref="K24:L24">
    <cfRule type="cellIs" dxfId="801" priority="278" operator="equal">
      <formula>"T"</formula>
    </cfRule>
    <cfRule type="cellIs" dxfId="800" priority="277" operator="equal">
      <formula>"J"</formula>
    </cfRule>
    <cfRule type="cellIs" dxfId="799" priority="276" stopIfTrue="1" operator="equal">
      <formula>"T"</formula>
    </cfRule>
  </conditionalFormatting>
  <conditionalFormatting sqref="L14">
    <cfRule type="cellIs" dxfId="798" priority="164" operator="equal">
      <formula>"J"</formula>
    </cfRule>
    <cfRule type="cellIs" dxfId="797" priority="163" stopIfTrue="1" operator="equal">
      <formula>"T"</formula>
    </cfRule>
  </conditionalFormatting>
  <conditionalFormatting sqref="L15">
    <cfRule type="cellIs" dxfId="796" priority="158" operator="equal">
      <formula>"J"</formula>
    </cfRule>
    <cfRule type="cellIs" dxfId="795" priority="157" stopIfTrue="1" operator="equal">
      <formula>"T"</formula>
    </cfRule>
  </conditionalFormatting>
  <conditionalFormatting sqref="L16">
    <cfRule type="cellIs" dxfId="794" priority="152" operator="equal">
      <formula>"J"</formula>
    </cfRule>
    <cfRule type="cellIs" dxfId="793" priority="151" stopIfTrue="1" operator="equal">
      <formula>"T"</formula>
    </cfRule>
  </conditionalFormatting>
  <conditionalFormatting sqref="L17">
    <cfRule type="cellIs" dxfId="792" priority="146" operator="equal">
      <formula>"J"</formula>
    </cfRule>
    <cfRule type="cellIs" dxfId="791" priority="145" stopIfTrue="1" operator="equal">
      <formula>"T"</formula>
    </cfRule>
  </conditionalFormatting>
  <conditionalFormatting sqref="L18:L22">
    <cfRule type="cellIs" dxfId="790" priority="140" operator="equal">
      <formula>"J"</formula>
    </cfRule>
    <cfRule type="cellIs" dxfId="789" priority="139" stopIfTrue="1" operator="equal">
      <formula>"T"</formula>
    </cfRule>
  </conditionalFormatting>
  <conditionalFormatting sqref="L25">
    <cfRule type="cellIs" dxfId="788" priority="129" stopIfTrue="1" operator="equal">
      <formula>"T"</formula>
    </cfRule>
    <cfRule type="cellIs" dxfId="787" priority="131" operator="equal">
      <formula>"T"</formula>
    </cfRule>
    <cfRule type="cellIs" dxfId="786" priority="130" operator="equal">
      <formula>"J"</formula>
    </cfRule>
    <cfRule type="cellIs" dxfId="785" priority="134" stopIfTrue="1" operator="equal">
      <formula>"T"</formula>
    </cfRule>
    <cfRule type="cellIs" dxfId="784" priority="135" operator="equal">
      <formula>"J"</formula>
    </cfRule>
  </conditionalFormatting>
  <conditionalFormatting sqref="L26">
    <cfRule type="cellIs" dxfId="783" priority="121" operator="equal">
      <formula>"J"</formula>
    </cfRule>
    <cfRule type="cellIs" dxfId="782" priority="120" stopIfTrue="1" operator="equal">
      <formula>"T"</formula>
    </cfRule>
    <cfRule type="cellIs" dxfId="781" priority="126" operator="equal">
      <formula>"J"</formula>
    </cfRule>
    <cfRule type="cellIs" dxfId="780" priority="125" stopIfTrue="1" operator="equal">
      <formula>"T"</formula>
    </cfRule>
    <cfRule type="cellIs" dxfId="779" priority="122" operator="equal">
      <formula>"T"</formula>
    </cfRule>
  </conditionalFormatting>
  <conditionalFormatting sqref="L27">
    <cfRule type="cellIs" dxfId="778" priority="116" stopIfTrue="1" operator="equal">
      <formula>"T"</formula>
    </cfRule>
    <cfRule type="cellIs" dxfId="777" priority="113" operator="equal">
      <formula>"T"</formula>
    </cfRule>
    <cfRule type="cellIs" dxfId="776" priority="112" operator="equal">
      <formula>"J"</formula>
    </cfRule>
    <cfRule type="cellIs" dxfId="775" priority="111" stopIfTrue="1" operator="equal">
      <formula>"T"</formula>
    </cfRule>
    <cfRule type="cellIs" dxfId="774" priority="117" operator="equal">
      <formula>"J"</formula>
    </cfRule>
  </conditionalFormatting>
  <conditionalFormatting sqref="L28">
    <cfRule type="cellIs" dxfId="773" priority="103" operator="equal">
      <formula>"J"</formula>
    </cfRule>
    <cfRule type="cellIs" dxfId="772" priority="102" stopIfTrue="1" operator="equal">
      <formula>"T"</formula>
    </cfRule>
    <cfRule type="cellIs" dxfId="771" priority="108" operator="equal">
      <formula>"J"</formula>
    </cfRule>
    <cfRule type="cellIs" dxfId="770" priority="107" stopIfTrue="1" operator="equal">
      <formula>"T"</formula>
    </cfRule>
    <cfRule type="cellIs" dxfId="769" priority="104" operator="equal">
      <formula>"T"</formula>
    </cfRule>
  </conditionalFormatting>
  <conditionalFormatting sqref="L29">
    <cfRule type="cellIs" dxfId="768" priority="94" operator="equal">
      <formula>"J"</formula>
    </cfRule>
    <cfRule type="cellIs" dxfId="767" priority="93" stopIfTrue="1" operator="equal">
      <formula>"T"</formula>
    </cfRule>
    <cfRule type="cellIs" dxfId="766" priority="99" operator="equal">
      <formula>"J"</formula>
    </cfRule>
    <cfRule type="cellIs" dxfId="765" priority="98" stopIfTrue="1" operator="equal">
      <formula>"T"</formula>
    </cfRule>
    <cfRule type="cellIs" dxfId="764" priority="95" operator="equal">
      <formula>"T"</formula>
    </cfRule>
  </conditionalFormatting>
  <conditionalFormatting sqref="L30">
    <cfRule type="cellIs" dxfId="763" priority="90" operator="equal">
      <formula>"J"</formula>
    </cfRule>
    <cfRule type="cellIs" dxfId="762" priority="89" stopIfTrue="1" operator="equal">
      <formula>"T"</formula>
    </cfRule>
    <cfRule type="cellIs" dxfId="761" priority="86" operator="equal">
      <formula>"T"</formula>
    </cfRule>
    <cfRule type="cellIs" dxfId="760" priority="85" operator="equal">
      <formula>"J"</formula>
    </cfRule>
    <cfRule type="cellIs" dxfId="759" priority="84" stopIfTrue="1" operator="equal">
      <formula>"T"</formula>
    </cfRule>
  </conditionalFormatting>
  <conditionalFormatting sqref="L31">
    <cfRule type="cellIs" dxfId="758" priority="81" operator="equal">
      <formula>"J"</formula>
    </cfRule>
    <cfRule type="cellIs" dxfId="757" priority="80" stopIfTrue="1" operator="equal">
      <formula>"T"</formula>
    </cfRule>
    <cfRule type="cellIs" dxfId="756" priority="77" operator="equal">
      <formula>"T"</formula>
    </cfRule>
    <cfRule type="cellIs" dxfId="755" priority="76" operator="equal">
      <formula>"J"</formula>
    </cfRule>
    <cfRule type="cellIs" dxfId="754" priority="75" stopIfTrue="1" operator="equal">
      <formula>"T"</formula>
    </cfRule>
  </conditionalFormatting>
  <conditionalFormatting sqref="L32">
    <cfRule type="cellIs" dxfId="753" priority="72" operator="equal">
      <formula>"J"</formula>
    </cfRule>
    <cfRule type="cellIs" dxfId="752" priority="66" stopIfTrue="1" operator="equal">
      <formula>"T"</formula>
    </cfRule>
    <cfRule type="cellIs" dxfId="751" priority="67" operator="equal">
      <formula>"J"</formula>
    </cfRule>
    <cfRule type="cellIs" dxfId="750" priority="68" operator="equal">
      <formula>"T"</formula>
    </cfRule>
    <cfRule type="cellIs" dxfId="749" priority="71" stopIfTrue="1" operator="equal">
      <formula>"T"</formula>
    </cfRule>
  </conditionalFormatting>
  <conditionalFormatting sqref="L33">
    <cfRule type="cellIs" dxfId="748" priority="57" stopIfTrue="1" operator="equal">
      <formula>"T"</formula>
    </cfRule>
    <cfRule type="cellIs" dxfId="747" priority="63" operator="equal">
      <formula>"J"</formula>
    </cfRule>
    <cfRule type="cellIs" dxfId="746" priority="62" stopIfTrue="1" operator="equal">
      <formula>"T"</formula>
    </cfRule>
    <cfRule type="cellIs" dxfId="745" priority="59" operator="equal">
      <formula>"T"</formula>
    </cfRule>
    <cfRule type="cellIs" dxfId="744" priority="58" operator="equal">
      <formula>"J"</formula>
    </cfRule>
  </conditionalFormatting>
  <conditionalFormatting sqref="L34">
    <cfRule type="cellIs" dxfId="743" priority="48" stopIfTrue="1" operator="equal">
      <formula>"T"</formula>
    </cfRule>
    <cfRule type="cellIs" dxfId="742" priority="54" operator="equal">
      <formula>"J"</formula>
    </cfRule>
    <cfRule type="cellIs" dxfId="741" priority="53" stopIfTrue="1" operator="equal">
      <formula>"T"</formula>
    </cfRule>
    <cfRule type="cellIs" dxfId="740" priority="50" operator="equal">
      <formula>"T"</formula>
    </cfRule>
    <cfRule type="cellIs" dxfId="739" priority="49" operator="equal">
      <formula>"J"</formula>
    </cfRule>
  </conditionalFormatting>
  <conditionalFormatting sqref="L35">
    <cfRule type="cellIs" dxfId="738" priority="39" stopIfTrue="1" operator="equal">
      <formula>"T"</formula>
    </cfRule>
    <cfRule type="cellIs" dxfId="737" priority="40" operator="equal">
      <formula>"J"</formula>
    </cfRule>
    <cfRule type="cellIs" dxfId="736" priority="41" operator="equal">
      <formula>"T"</formula>
    </cfRule>
    <cfRule type="cellIs" dxfId="735" priority="44" stopIfTrue="1" operator="equal">
      <formula>"T"</formula>
    </cfRule>
    <cfRule type="cellIs" dxfId="734" priority="45" operator="equal">
      <formula>"J"</formula>
    </cfRule>
  </conditionalFormatting>
  <conditionalFormatting sqref="L36">
    <cfRule type="cellIs" dxfId="733" priority="36" operator="equal">
      <formula>"J"</formula>
    </cfRule>
    <cfRule type="cellIs" dxfId="732" priority="35" stopIfTrue="1" operator="equal">
      <formula>"T"</formula>
    </cfRule>
    <cfRule type="cellIs" dxfId="731" priority="32" operator="equal">
      <formula>"T"</formula>
    </cfRule>
    <cfRule type="cellIs" dxfId="730" priority="31" operator="equal">
      <formula>"J"</formula>
    </cfRule>
    <cfRule type="cellIs" dxfId="729" priority="30" stopIfTrue="1" operator="equal">
      <formula>"T"</formula>
    </cfRule>
  </conditionalFormatting>
  <conditionalFormatting sqref="L37">
    <cfRule type="cellIs" dxfId="728" priority="27" operator="equal">
      <formula>"J"</formula>
    </cfRule>
    <cfRule type="cellIs" dxfId="727" priority="26" stopIfTrue="1" operator="equal">
      <formula>"T"</formula>
    </cfRule>
    <cfRule type="cellIs" dxfId="726" priority="23" operator="equal">
      <formula>"T"</formula>
    </cfRule>
    <cfRule type="cellIs" dxfId="725" priority="22" operator="equal">
      <formula>"J"</formula>
    </cfRule>
    <cfRule type="cellIs" dxfId="724" priority="21" stopIfTrue="1" operator="equal">
      <formula>"T"</formula>
    </cfRule>
  </conditionalFormatting>
  <conditionalFormatting sqref="L38">
    <cfRule type="cellIs" dxfId="723" priority="13" operator="equal">
      <formula>"J"</formula>
    </cfRule>
    <cfRule type="cellIs" dxfId="722" priority="12" stopIfTrue="1" operator="equal">
      <formula>"T"</formula>
    </cfRule>
    <cfRule type="cellIs" dxfId="721" priority="17" stopIfTrue="1" operator="equal">
      <formula>"T"</formula>
    </cfRule>
    <cfRule type="cellIs" dxfId="720" priority="18" operator="equal">
      <formula>"J"</formula>
    </cfRule>
    <cfRule type="cellIs" dxfId="719" priority="14" operator="equal">
      <formula>"T"</formula>
    </cfRule>
  </conditionalFormatting>
  <conditionalFormatting sqref="L39">
    <cfRule type="cellIs" dxfId="718" priority="9" operator="equal">
      <formula>"J"</formula>
    </cfRule>
    <cfRule type="cellIs" dxfId="717" priority="8" stopIfTrue="1" operator="equal">
      <formula>"T"</formula>
    </cfRule>
    <cfRule type="cellIs" dxfId="716" priority="5" operator="equal">
      <formula>"T"</formula>
    </cfRule>
    <cfRule type="cellIs" dxfId="715" priority="4" operator="equal">
      <formula>"J"</formula>
    </cfRule>
    <cfRule type="cellIs" dxfId="714" priority="3" stopIfTrue="1" operator="equal">
      <formula>"T"</formula>
    </cfRule>
  </conditionalFormatting>
  <dataValidations count="2">
    <dataValidation type="list" allowBlank="1" showInputMessage="1" showErrorMessage="1" sqref="D12:H39 J23" xr:uid="{8A53AC77-C18B-4670-9173-6CCE8CD5AC6B}">
      <formula1>$AI$12:$AI$15</formula1>
    </dataValidation>
    <dataValidation type="list" allowBlank="1" showInputMessage="1" showErrorMessage="1" sqref="J24:J39 J12:J22 K12:M39" xr:uid="{0DBE5EE1-ABE9-442B-9DD1-1D51058EC8D3}">
      <formula1>$AH$12:$AH$16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06" id="{0F29FAC1-16A6-48FC-9B17-78D836CECD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D12:D22</xm:sqref>
        </x14:conditionalFormatting>
        <x14:conditionalFormatting xmlns:xm="http://schemas.microsoft.com/office/excel/2006/main">
          <x14:cfRule type="iconSet" priority="403" id="{7FF5BC17-063C-4EFF-ADD1-F0BEF3A1B8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D24:D39</xm:sqref>
        </x14:conditionalFormatting>
        <x14:conditionalFormatting xmlns:xm="http://schemas.microsoft.com/office/excel/2006/main">
          <x14:cfRule type="iconSet" priority="400" id="{712F4CFF-E4C7-4E2C-9F21-721709DE7A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D23:H23</xm:sqref>
        </x14:conditionalFormatting>
        <x14:conditionalFormatting xmlns:xm="http://schemas.microsoft.com/office/excel/2006/main">
          <x14:cfRule type="iconSet" priority="398" id="{EE86D0DA-579C-4A8D-8215-C0AB631643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E12:E13</xm:sqref>
        </x14:conditionalFormatting>
        <x14:conditionalFormatting xmlns:xm="http://schemas.microsoft.com/office/excel/2006/main">
          <x14:cfRule type="iconSet" priority="387" id="{D8BF6D53-3234-4BF8-AE1A-1BCD550487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E13</xm:sqref>
        </x14:conditionalFormatting>
        <x14:conditionalFormatting xmlns:xm="http://schemas.microsoft.com/office/excel/2006/main">
          <x14:cfRule type="iconSet" priority="755" id="{65FAD63E-D601-4162-8626-34E43190E7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E13:E21 E24:H39 G12:H39 J12:J22 J15:L22 K23:L23 K24:M24 J25:M39</xm:sqref>
        </x14:conditionalFormatting>
        <x14:conditionalFormatting xmlns:xm="http://schemas.microsoft.com/office/excel/2006/main">
          <x14:cfRule type="iconSet" priority="386" id="{F0375E4E-ADBA-4EEE-A20B-A1E7B4F3E1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</xm:sqref>
        </x14:conditionalFormatting>
        <x14:conditionalFormatting xmlns:xm="http://schemas.microsoft.com/office/excel/2006/main">
          <x14:cfRule type="iconSet" priority="385" id="{87A4BFC9-D4EC-4950-9B19-8B52E6FC1C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</xm:sqref>
        </x14:conditionalFormatting>
        <x14:conditionalFormatting xmlns:xm="http://schemas.microsoft.com/office/excel/2006/main">
          <x14:cfRule type="iconSet" priority="384" id="{06C712E7-A6BA-4092-9DC0-2E51D0ED8B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</xm:sqref>
        </x14:conditionalFormatting>
        <x14:conditionalFormatting xmlns:xm="http://schemas.microsoft.com/office/excel/2006/main">
          <x14:cfRule type="iconSet" priority="383" id="{1EDD161C-D8E8-4904-9779-E1A8632998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E17</xm:sqref>
        </x14:conditionalFormatting>
        <x14:conditionalFormatting xmlns:xm="http://schemas.microsoft.com/office/excel/2006/main">
          <x14:cfRule type="iconSet" priority="382" id="{D833F2B1-82DB-4CFF-9582-3DB48663C7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E18</xm:sqref>
        </x14:conditionalFormatting>
        <x14:conditionalFormatting xmlns:xm="http://schemas.microsoft.com/office/excel/2006/main">
          <x14:cfRule type="iconSet" priority="380" id="{FD327ED8-B503-4147-A9FB-88BC6F8412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E19</xm:sqref>
        </x14:conditionalFormatting>
        <x14:conditionalFormatting xmlns:xm="http://schemas.microsoft.com/office/excel/2006/main">
          <x14:cfRule type="iconSet" priority="379" id="{A2F5CD3D-0794-4DED-849B-A54D223DD1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E20</xm:sqref>
        </x14:conditionalFormatting>
        <x14:conditionalFormatting xmlns:xm="http://schemas.microsoft.com/office/excel/2006/main">
          <x14:cfRule type="iconSet" priority="396" id="{C47A6159-AD1C-4755-ABFC-52337D489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E21:E27</xm:sqref>
        </x14:conditionalFormatting>
        <x14:conditionalFormatting xmlns:xm="http://schemas.microsoft.com/office/excel/2006/main">
          <x14:cfRule type="iconSet" priority="388" id="{DACB2425-6772-43D8-A348-5C9A0723C4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81" id="{793FBB1F-5787-4A7B-BEF6-0C6BB4E2CD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E22</xm:sqref>
        </x14:conditionalFormatting>
        <x14:conditionalFormatting xmlns:xm="http://schemas.microsoft.com/office/excel/2006/main">
          <x14:cfRule type="iconSet" priority="389" id="{1191FC41-2D23-4E72-BD9A-8844AB6A06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E23</xm:sqref>
        </x14:conditionalFormatting>
        <x14:conditionalFormatting xmlns:xm="http://schemas.microsoft.com/office/excel/2006/main">
          <x14:cfRule type="iconSet" priority="397" id="{127E36B9-A1B8-4339-8A33-0945182F4C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E28</xm:sqref>
        </x14:conditionalFormatting>
        <x14:conditionalFormatting xmlns:xm="http://schemas.microsoft.com/office/excel/2006/main">
          <x14:cfRule type="iconSet" priority="395" id="{65EB8FA9-9573-46B4-A82F-B331308789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E29</xm:sqref>
        </x14:conditionalFormatting>
        <x14:conditionalFormatting xmlns:xm="http://schemas.microsoft.com/office/excel/2006/main">
          <x14:cfRule type="iconSet" priority="394" id="{2A7F7844-DD81-441F-B333-C8C73DE3BC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E30</xm:sqref>
        </x14:conditionalFormatting>
        <x14:conditionalFormatting xmlns:xm="http://schemas.microsoft.com/office/excel/2006/main">
          <x14:cfRule type="iconSet" priority="393" id="{B7B515F4-C82B-42D9-BEDA-E8903850F8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E31:E39</xm:sqref>
        </x14:conditionalFormatting>
        <x14:conditionalFormatting xmlns:xm="http://schemas.microsoft.com/office/excel/2006/main">
          <x14:cfRule type="iconSet" priority="392" id="{38D1E5EE-0BD6-435C-9E26-384825E092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</xm:sqref>
        </x14:conditionalFormatting>
        <x14:conditionalFormatting xmlns:xm="http://schemas.microsoft.com/office/excel/2006/main">
          <x14:cfRule type="iconSet" priority="391" id="{7217A506-C045-41CE-83D6-8F6CE0AED5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E38</xm:sqref>
        </x14:conditionalFormatting>
        <x14:conditionalFormatting xmlns:xm="http://schemas.microsoft.com/office/excel/2006/main">
          <x14:cfRule type="iconSet" priority="390" id="{C720B502-03E3-4BDC-9A79-6E82A2DA87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E39</xm:sqref>
        </x14:conditionalFormatting>
        <x14:conditionalFormatting xmlns:xm="http://schemas.microsoft.com/office/excel/2006/main">
          <x14:cfRule type="iconSet" priority="417" id="{4D74E366-9766-432E-BE12-3A6A007F35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E16:H23 E13:H13 E14:E15 G15:H15 I11 O12 H12:H36 J12:J22 J25:J39 J12:M12 J13:L22 K23:L23</xm:sqref>
        </x14:conditionalFormatting>
        <x14:conditionalFormatting xmlns:xm="http://schemas.microsoft.com/office/excel/2006/main">
          <x14:cfRule type="iconSet" priority="746" id="{77F9372F-3F31-4093-8198-F2BC017E8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E37:H39 G12:G39 H25:H39</xm:sqref>
        </x14:conditionalFormatting>
        <x14:conditionalFormatting xmlns:xm="http://schemas.microsoft.com/office/excel/2006/main">
          <x14:cfRule type="iconSet" priority="372" id="{8D2A5945-DB87-4088-B34B-262BF9604B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3" id="{DC5FB5EB-D14E-46E6-BBAC-1760E6F6E3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4" id="{49DEC67D-3CB8-49DA-BA8F-83D281708F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5" id="{3863D411-841E-4BFE-95CD-024ED64952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F12:F39</xm:sqref>
        </x14:conditionalFormatting>
        <x14:conditionalFormatting xmlns:xm="http://schemas.microsoft.com/office/excel/2006/main">
          <x14:cfRule type="iconSet" priority="377" id="{6F3F8C95-3B2C-4A4F-8286-CCC323A3CC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8" id="{569C7E7D-085E-4A75-B353-7C2A59446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G12:G39</xm:sqref>
        </x14:conditionalFormatting>
        <x14:conditionalFormatting xmlns:xm="http://schemas.microsoft.com/office/excel/2006/main">
          <x14:cfRule type="iconSet" priority="376" id="{22B1FAA7-AD8B-406B-99FD-44917ECDD7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G21</xm:sqref>
        </x14:conditionalFormatting>
        <x14:conditionalFormatting xmlns:xm="http://schemas.microsoft.com/office/excel/2006/main">
          <x14:cfRule type="iconSet" priority="363" id="{2A1ADF02-E05B-419F-8211-5E4A999E48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4" id="{86676E42-7AA0-435C-83B1-73B023D525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5" id="{ECF8AF54-F914-47F0-85A9-97C4A0D2F6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H12:H36</xm:sqref>
        </x14:conditionalFormatting>
        <x14:conditionalFormatting xmlns:xm="http://schemas.microsoft.com/office/excel/2006/main">
          <x14:cfRule type="iconSet" priority="366" id="{47F9877E-26F3-443E-B6D0-8F9F6F59A1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7" id="{7ADBB74B-18A4-4E99-B4D6-A0E6D52F77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8" id="{09F9DA4F-69D4-4F74-B585-3B77BAF38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9" id="{D0596337-AD5F-4474-BB18-335AEE5B4F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1" id="{B2C2370F-48BA-481E-9B76-B3892AB0AA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763" id="{68292FED-2C3F-421F-9048-81FAA60D03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2" id="{7401715D-C761-4CCF-B3F8-B10A5CFF0F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4" id="{B3E4763A-B744-4F8A-824F-5E60739D08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H25:H39</xm:sqref>
        </x14:conditionalFormatting>
        <x14:conditionalFormatting xmlns:xm="http://schemas.microsoft.com/office/excel/2006/main">
          <x14:cfRule type="iconSet" priority="356" id="{01332362-51E0-4ECC-AA51-094C604866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5" id="{CD028266-3951-4722-AA59-E64B378120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4" id="{862A78D8-7E6D-4C52-9970-195EB13E23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8" id="{EF89650C-9C7B-4AEA-9587-B1CAC21B7C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3" id="{ABEC19A2-6004-44A7-B05E-9D92576959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749" id="{2B66FE87-EA4B-4B1F-A7C9-72CD5FAC62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O12 F13:F39 E12:H36 H24:H39 J12:M22 K23:M24 J25:M39</xm:sqref>
        </x14:conditionalFormatting>
        <x14:conditionalFormatting xmlns:xm="http://schemas.microsoft.com/office/excel/2006/main">
          <x14:cfRule type="iconSet" priority="350" id="{69C59DFF-035C-4FC2-A15A-9638AD4EE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9" id="{2BCA5325-654A-4895-9BA6-72E117F9E1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8" id="{D0911A07-7946-4E6B-85B9-4673540052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J12:J22 J25:J39</xm:sqref>
        </x14:conditionalFormatting>
        <x14:conditionalFormatting xmlns:xm="http://schemas.microsoft.com/office/excel/2006/main">
          <x14:cfRule type="iconSet" priority="167" id="{7CDD9674-8515-44AB-ADB6-0B7820A07C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J23</xm:sqref>
        </x14:conditionalFormatting>
        <x14:conditionalFormatting xmlns:xm="http://schemas.microsoft.com/office/excel/2006/main">
          <x14:cfRule type="iconSet" priority="346" id="{89617AE9-9551-4982-BB03-2E6F17463A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338" id="{959B8E2E-32D2-496F-BAC1-03C5C0A952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35" id="{6B892EB5-249D-4BB8-B898-B7700BF343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4" id="{DDB6546C-09FA-4C17-977E-2673349C68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3" id="{9DAE1A65-AB94-41E6-9679-13126B5340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K13</xm:sqref>
        </x14:conditionalFormatting>
        <x14:conditionalFormatting xmlns:xm="http://schemas.microsoft.com/office/excel/2006/main">
          <x14:cfRule type="iconSet" priority="329" id="{64275CF1-09B6-4157-819C-5C98C81BE9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8" id="{2BF9114F-BD66-495A-BD07-516BCE127C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7" id="{83CC2995-C145-4F6E-B4E1-34CC41B48D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2" id="{A51E4DE5-9160-48BC-9501-1CF4D225D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324" id="{E8F5EA91-A81C-46CC-AB02-4053BF0B0B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3" id="{F7DA8630-4A75-4616-8E3E-DAC0D9C756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2" id="{A4881E2C-9CDD-43F0-81B9-F009EAE071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K15</xm:sqref>
        </x14:conditionalFormatting>
        <x14:conditionalFormatting xmlns:xm="http://schemas.microsoft.com/office/excel/2006/main">
          <x14:cfRule type="iconSet" priority="318" id="{67ED5B94-38D0-4627-973C-3525BA5C03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7" id="{FEEA0609-19FA-4CA4-BD3D-29FAEC646B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9" id="{6E1470A7-CCB1-44E8-925B-B0D369EC31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312" id="{E10B512A-E785-4240-97B0-B14781FA2D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3" id="{FB6E9A60-2BFC-4956-A7DA-A73BCF1D1F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4" id="{F8227DAE-5657-458E-A3EE-0C7025BD6B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</xm:sqref>
        </x14:conditionalFormatting>
        <x14:conditionalFormatting xmlns:xm="http://schemas.microsoft.com/office/excel/2006/main">
          <x14:cfRule type="iconSet" priority="308" id="{F7FF3A8B-8EDE-4564-AEAB-23178DE90B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7" id="{C3E107E3-04FF-4907-A646-55EC187CA0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9" id="{9A09B9B1-EDCC-4612-904A-3F0CC2F13A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K18</xm:sqref>
        </x14:conditionalFormatting>
        <x14:conditionalFormatting xmlns:xm="http://schemas.microsoft.com/office/excel/2006/main">
          <x14:cfRule type="iconSet" priority="303" id="{CF092F6A-1EA3-4D58-8D2C-502E62082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4" id="{84C49BEB-AFB8-45E6-9A51-4FED232290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2" id="{A814046D-8EC9-4E09-BB1B-6BFAADA550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K19</xm:sqref>
        </x14:conditionalFormatting>
        <x14:conditionalFormatting xmlns:xm="http://schemas.microsoft.com/office/excel/2006/main">
          <x14:cfRule type="iconSet" priority="299" id="{72165737-C3AE-47DC-8E41-F041332BAD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7" id="{B8339F42-3E58-479D-8AE4-F460D265A2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8" id="{EE68BC38-76FB-4661-A5B5-D6C8B483C6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K20</xm:sqref>
        </x14:conditionalFormatting>
        <x14:conditionalFormatting xmlns:xm="http://schemas.microsoft.com/office/excel/2006/main">
          <x14:cfRule type="iconSet" priority="292" id="{AC4AFFC8-6F76-4DD2-983C-B174B4F72A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3" id="{A016F0F8-87C5-4F86-90AB-37795BB49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4" id="{2556D433-D02F-43E8-A830-C0956B075C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K21</xm:sqref>
        </x14:conditionalFormatting>
        <x14:conditionalFormatting xmlns:xm="http://schemas.microsoft.com/office/excel/2006/main">
          <x14:cfRule type="iconSet" priority="289" id="{0E32EFDC-8523-41E3-B896-5851F5CCD7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8" id="{16293ABB-4F3A-41CE-8284-3376753272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7" id="{A430AE10-6D87-4EEE-AD86-5C52F444CC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K22</xm:sqref>
        </x14:conditionalFormatting>
        <x14:conditionalFormatting xmlns:xm="http://schemas.microsoft.com/office/excel/2006/main">
          <x14:cfRule type="iconSet" priority="272" id="{B32D2920-5492-499C-A77C-35B1828479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8" id="{36A5AAC8-FF42-4C66-BD62-6D0DCA8FCA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7" id="{2442EBF2-F500-4534-987A-43A126EC40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3" id="{3F2B4DAE-ECCD-4977-8041-DA888C6937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K25</xm:sqref>
        </x14:conditionalFormatting>
        <x14:conditionalFormatting xmlns:xm="http://schemas.microsoft.com/office/excel/2006/main">
          <x14:cfRule type="iconSet" priority="266" id="{8240804C-A0DC-46FC-923D-07A8EC9E8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5" id="{504537C6-62D6-4D3B-A51A-2A3DACD876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1" id="{E66427BE-445E-4E8C-B2F3-60E6AF8674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0" id="{00249CEE-799B-4DFA-BB9B-F85F18EE0A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</xm:sqref>
        </x14:conditionalFormatting>
        <x14:conditionalFormatting xmlns:xm="http://schemas.microsoft.com/office/excel/2006/main">
          <x14:cfRule type="iconSet" priority="254" id="{D734701C-AC4D-46E5-8004-C7CAEAF0FC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3" id="{4C480C8C-5380-4FCF-93E0-22D9315D4C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9" id="{8C350C98-791E-46AA-AE3E-E9757EFA90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8" id="{62ED2A2F-812E-4FE8-B6A9-3642079F57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K27</xm:sqref>
        </x14:conditionalFormatting>
        <x14:conditionalFormatting xmlns:xm="http://schemas.microsoft.com/office/excel/2006/main">
          <x14:cfRule type="iconSet" priority="246" id="{FA2BAD8D-2921-486B-BB14-B679FA6478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2" id="{DD2851B2-297C-4C7A-B830-AA53FD2C13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1" id="{C1E374D7-831A-434B-BC01-01A67E3931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7" id="{D4A16B50-9E68-4A8A-B6E9-EC974FABE8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K28</xm:sqref>
        </x14:conditionalFormatting>
        <x14:conditionalFormatting xmlns:xm="http://schemas.microsoft.com/office/excel/2006/main">
          <x14:cfRule type="iconSet" priority="245" id="{74176A26-3849-498E-80C5-0E5751BCBF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9" id="{9625F45B-3EE3-40C4-B3B0-B4ED44A8F2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0" id="{90DFAC14-D9E5-4501-8E2A-20406E3810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4" id="{D6730581-0AFD-474D-82CE-E88C094267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K29</xm:sqref>
        </x14:conditionalFormatting>
        <x14:conditionalFormatting xmlns:xm="http://schemas.microsoft.com/office/excel/2006/main">
          <x14:cfRule type="iconSet" priority="238" id="{200E8B87-EC03-4858-B132-13C46E305C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7" id="{3F6844F2-C481-446C-A764-9EBE5D1185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3" id="{98BF743A-5DC4-44BA-A880-1AFB3EFF1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2" id="{BCC25872-EE70-4132-96F4-64B19C3DC6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K30</xm:sqref>
        </x14:conditionalFormatting>
        <x14:conditionalFormatting xmlns:xm="http://schemas.microsoft.com/office/excel/2006/main">
          <x14:cfRule type="iconSet" priority="226" id="{E7E1C479-D1E1-4FF2-B7A2-EACBC198B6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5" id="{706CD252-6849-4ACD-972F-5808F19218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1" id="{51C147B6-1F1B-4D0D-ABC4-8FEE0D9DDE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0" id="{B76EE7D5-2033-435F-B4FD-0BBEBA42AF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219" id="{C59FF979-3688-44EF-82F4-FEE675A2FB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8" id="{9CA8BB9A-E631-40F3-9315-3F1EF67055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3" id="{92651173-49F1-4F7D-A98D-F28996F8B0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4" id="{1C7C8925-FB3D-4C24-9579-F0F4475D8A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216" id="{E37797A7-64E8-4DBE-97D8-F79E66F5B6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7" id="{FB487A0C-93AF-4176-B09D-9F8F59D2E8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1" id="{82B6B230-DE63-4E6F-BCF4-D1E3AE352C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2" id="{272917AB-F714-4B82-9903-B8656DDA10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K33</xm:sqref>
        </x14:conditionalFormatting>
        <x14:conditionalFormatting xmlns:xm="http://schemas.microsoft.com/office/excel/2006/main">
          <x14:cfRule type="iconSet" priority="209" id="{182F5002-6636-40FD-B3D3-4040F3EF85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0" id="{A5C3BF5E-985E-4C99-BB6B-F58B8C56D1A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4" id="{361287E3-F629-4F90-92F2-1DEF9EDAA0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5" id="{5D112758-779C-481F-B1E2-A61E64D704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98" id="{5E775D03-D864-4424-8751-D06582E2FA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7" id="{DF905270-1C8E-45FD-8A59-AA8F0DAC6E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3" id="{410F9929-3504-425A-B8BF-441D7D5A4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2" id="{AC53FFB1-2FFF-4F4E-8A99-BB31006D0C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196" id="{F114EFDA-CA67-4753-ACF6-57C2AF98D5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5" id="{6B9DA9B9-9B3C-4ACC-B10F-525AB3E3CA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1" id="{F73D50F1-87C9-45AB-92D6-DCCC5FDB22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0" id="{F1DDE2A0-05F6-428A-B666-78240B55DC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84" id="{C2E97610-C756-4E08-954D-A50475C6B3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3" id="{F3B7A36A-7E5E-45E4-BD54-1E336B3B2D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9" id="{9AD9367F-1873-4316-B9A9-048DD0B325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8" id="{E4B81E6F-6D0B-4330-A4EB-6CF74D5D4E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K37</xm:sqref>
        </x14:conditionalFormatting>
        <x14:conditionalFormatting xmlns:xm="http://schemas.microsoft.com/office/excel/2006/main">
          <x14:cfRule type="iconSet" priority="177" id="{6B7DFEDD-EA07-420C-9FAB-AC4EC5BAE5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6" id="{716A3729-F156-489C-9505-CC4107D94B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2" id="{C3C19DB0-F825-4174-943D-16DA79A3E0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1" id="{568E852E-1E59-4B0D-8D03-7D8BE5C1AC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K38</xm:sqref>
        </x14:conditionalFormatting>
        <x14:conditionalFormatting xmlns:xm="http://schemas.microsoft.com/office/excel/2006/main">
          <x14:cfRule type="iconSet" priority="175" id="{7EECE386-1FEE-4B1B-9FC4-D717606257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4" id="{51D00ED6-2DFA-439F-A29C-95892E8B73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0" id="{B0611E3D-7384-4A94-83EE-239A479FE8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9" id="{1ADCD083-AE94-4C67-BF26-614AB9BAD8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K39</xm:sqref>
        </x14:conditionalFormatting>
        <x14:conditionalFormatting xmlns:xm="http://schemas.microsoft.com/office/excel/2006/main">
          <x14:cfRule type="iconSet" priority="340" id="{B5CBE05B-3D97-4371-B6B7-479E994A4C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4" id="{FF540EBB-A405-4E39-9AF4-1F4C77DC6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41" id="{3D5EFB9F-B74C-4FAE-8EB3-028E937C42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9" id="{F0CD5A83-D993-4FE9-A98B-19A57118A0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K12:L12</xm:sqref>
        </x14:conditionalFormatting>
        <x14:conditionalFormatting xmlns:xm="http://schemas.microsoft.com/office/excel/2006/main">
          <x14:cfRule type="iconSet" priority="286" id="{3221A3E5-0E26-4D72-877C-59080032ED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3" id="{B63328AF-3E43-41EC-8545-45AF05D276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2" id="{BF6AC2E7-BFE6-4106-9F27-F7CF16844A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1" id="{D365A4D5-7D0F-44AF-B0E9-DE4800C029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K23:L23</xm:sqref>
        </x14:conditionalFormatting>
        <x14:conditionalFormatting xmlns:xm="http://schemas.microsoft.com/office/excel/2006/main">
          <x14:cfRule type="iconSet" priority="280" id="{DCED67B4-84BD-4334-AAFB-9057A42F33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9" id="{0DB553CC-C6E3-4608-AA40-4BE6557FCB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5" id="{BA155DCF-2AB0-4B6C-9712-20CD3E8780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4" id="{33FD3E3F-4892-40C9-84AC-FF7818F849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K24:L24</xm:sqref>
        </x14:conditionalFormatting>
        <x14:conditionalFormatting xmlns:xm="http://schemas.microsoft.com/office/excel/2006/main">
          <x14:cfRule type="iconSet" priority="165" id="{02FC4A2F-E37A-48D5-994E-1AC6BA64B0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62" id="{F3183BA4-0781-4C6B-8820-C4DC644E2B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1" id="{53A6CED9-E3B7-4A18-B274-4567A3502F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0" id="{0CA8D1DE-E6C1-4472-95DF-CFF97719FF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159" id="{8358BE8A-6347-4332-801F-6BAD64103E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6" id="{5D6DB2C8-A4C2-4441-B905-314B696E2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4" id="{D3AC44D1-785F-4BCD-852B-2A0EBAB282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5" id="{A1B7A805-5A11-4537-B590-E73ACD88F4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153" id="{68F809CD-BB09-446B-9CB8-C13AF760B9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0" id="{9F5E5E70-6AF8-46D5-A500-D3FA3C8672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" id="{CBDD5FB9-6A17-4189-9D46-B12DA38336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" id="{DB4B2434-0E99-4759-9B36-723825074E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</xm:sqref>
        </x14:conditionalFormatting>
        <x14:conditionalFormatting xmlns:xm="http://schemas.microsoft.com/office/excel/2006/main">
          <x14:cfRule type="iconSet" priority="147" id="{0BCC8250-8DF5-4F51-8649-EEDAB6DB5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4" id="{9310966F-3C5B-4523-9CFC-B8036EF3A8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" id="{F131EFF8-C0E4-46FA-A139-576A6D347B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" id="{FCD41B72-9AC7-49CE-AE84-5DA389A72D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</xm:sqref>
        </x14:conditionalFormatting>
        <x14:conditionalFormatting xmlns:xm="http://schemas.microsoft.com/office/excel/2006/main">
          <x14:cfRule type="iconSet" priority="141" id="{36EB39D1-7984-4F7B-AD61-9B1DE066B4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6" id="{B07E8C4E-9DC8-4098-9000-3084084334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" id="{0DABD8B3-4C10-4711-924F-F845D51337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" id="{33415F28-310D-4B4F-8F9E-ECA0B80A4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L18:L22</xm:sqref>
        </x14:conditionalFormatting>
        <x14:conditionalFormatting xmlns:xm="http://schemas.microsoft.com/office/excel/2006/main">
          <x14:cfRule type="iconSet" priority="127" id="{4155AAD0-DA6C-45F3-A629-3B01E7E561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8" id="{B7DD708D-3422-4ACF-B060-6768400174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2" id="{49D271D4-19D0-438F-8998-70DA8B1B3C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" id="{A0E77E0F-2A14-4780-AD96-F3D8F38DF2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119" id="{A767D2DE-2CD0-4BAF-9BD3-84C177E876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" id="{BF78A747-7F05-4F78-85C1-DDDD283068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" id="{DDF5D87A-C7D0-4BFB-A497-8676AE4A2A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" id="{2031D295-F9C2-4FAF-B6FA-E2531CA5D3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110" id="{17619049-7778-44E1-93C8-4D07056357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" id="{98963564-7223-467D-B92E-DCBE270BB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5" id="{90680F88-6BF5-4090-A122-5E87855ECF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" id="{172E4DAF-F94E-4D6B-9ED6-31C68ACEAB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L27</xm:sqref>
        </x14:conditionalFormatting>
        <x14:conditionalFormatting xmlns:xm="http://schemas.microsoft.com/office/excel/2006/main">
          <x14:cfRule type="iconSet" priority="106" id="{569F23A9-DD29-49C4-9914-0308C6B7B2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" id="{28F82439-78A4-4D9A-B142-D5AECA33AF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1" id="{287F10AA-C065-4757-92D0-7B5730C490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" id="{FAC8F5B1-5F4A-4A52-AA2A-E60A2C3694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L28</xm:sqref>
        </x14:conditionalFormatting>
        <x14:conditionalFormatting xmlns:xm="http://schemas.microsoft.com/office/excel/2006/main">
          <x14:cfRule type="iconSet" priority="92" id="{AA5EE21A-1331-4901-88C4-515D3DD06F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" id="{A9F6D7F2-BD85-437D-B144-B0ECFE1DC1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" id="{AF48E603-854D-4A1E-BA1C-3BCE9D0523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" id="{0AE8136A-5D51-4C38-871B-8439AEB012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L29</xm:sqref>
        </x14:conditionalFormatting>
        <x14:conditionalFormatting xmlns:xm="http://schemas.microsoft.com/office/excel/2006/main">
          <x14:cfRule type="iconSet" priority="88" id="{53F66AFE-DC69-45A2-9792-1486E16EA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" id="{CB6FAD57-353D-45CF-B370-6AC5B3EF5E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" id="{EF4C912E-D8F4-41EC-A49B-DC537CD120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" id="{70D1C59B-C83B-403C-B90B-D75AEF73EE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73" id="{EBDC381E-74EE-41AB-AE27-4EC62069C7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9" id="{E947D836-5908-4F59-93B0-88D70B464F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" id="{E1FFEA0F-B1B7-4450-86D5-8163FDCE69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" id="{98F0D4D3-6469-4103-AC82-12D9D02CA9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65" id="{347D3000-46E1-4E92-811D-F538984A27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9" id="{91FC633D-B131-4CCC-BF39-1727B5B44A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" id="{C410CCED-1713-40EE-9E21-F609C5EF09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" id="{DA57765A-D741-47D7-87DD-CAB93DE4B7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55" id="{5B8B8EB1-8836-4869-85CA-A8AD11A4C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" id="{2D747C6F-07E1-4865-8DE5-2D46ADC4B8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E4E9B828-6AB0-4EA7-A82D-2E79A2DCC5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" id="{0CBD4FD7-FDD3-44B8-A86C-0C1F4A1C10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L33</xm:sqref>
        </x14:conditionalFormatting>
        <x14:conditionalFormatting xmlns:xm="http://schemas.microsoft.com/office/excel/2006/main">
          <x14:cfRule type="iconSet" priority="47" id="{E5591967-F2B9-466B-8030-631EF04672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81E3C375-6B10-4EB2-B7DB-948ACED7EB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" id="{EA6656FF-74DA-4A30-AC97-5D2823C549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" id="{253F4B31-0A86-40FA-BAEB-06F86E3CCB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38" id="{86235E1F-5F91-4D52-A70E-9EC4677076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" id="{289CCA19-9001-4819-9634-6D26222E73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" id="{F0AEDAF4-0683-4A6B-BB1A-CC194A149E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" id="{91475411-17B3-4D33-8E5D-D183DB11A8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29" id="{3CFF2A31-A802-4540-8334-E56C89A2D6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" id="{A3A787DE-DA12-47D3-B9A9-C24E43BF9D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" id="{B3974A50-2737-46E6-AF1D-CCBDF6421D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" id="{55DF199E-607F-4E84-AD9B-1F5C1929DF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9" id="{D4043C88-BA79-47A1-8A62-BEAE64C878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" id="{6FF85EA4-C898-474F-A335-EA2DC91C28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" id="{EDE2245F-5AED-4776-8BF2-1A4BD08293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" id="{D607D9A6-426B-4AA1-87A2-6E89680799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11" id="{6C4C0617-C19B-4AE8-B402-6C93B38413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" id="{EEDCBD2E-765C-47AA-BFC8-D5F11BDA65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" id="{1B457478-9D4A-41DE-ACFC-97B9D14648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" id="{B142E736-F664-408F-9A96-2E51A6E784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L38</xm:sqref>
        </x14:conditionalFormatting>
        <x14:conditionalFormatting xmlns:xm="http://schemas.microsoft.com/office/excel/2006/main">
          <x14:cfRule type="iconSet" priority="7" id="{BEABD740-1F6D-4268-B2B7-30BF5CCDE1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" id="{B19F256D-A62B-43C7-B567-EAED01442E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" id="{880286B7-7CF9-489E-A4D5-0E452A4E3D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" id="{E62A13CA-6468-400E-87FB-2F6FC1793A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E6FB-A207-4B44-A64F-3669FAF6AFAB}">
  <sheetPr codeName="Hoja7"/>
  <dimension ref="A1:AS39"/>
  <sheetViews>
    <sheetView topLeftCell="A5" zoomScale="90" zoomScaleNormal="90" workbookViewId="0">
      <selection activeCell="T12" sqref="T12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6" width="3" customWidth="1"/>
    <col min="7" max="7" width="3.88671875" customWidth="1"/>
    <col min="8" max="11" width="3.21875" bestFit="1" customWidth="1"/>
    <col min="12" max="29" width="3.21875" customWidth="1"/>
    <col min="30" max="30" width="3.77734375" customWidth="1"/>
    <col min="31" max="31" width="11.77734375" customWidth="1"/>
    <col min="32" max="32" width="7.33203125" bestFit="1" customWidth="1"/>
    <col min="33" max="33" width="7" bestFit="1" customWidth="1"/>
    <col min="34" max="34" width="14.77734375" bestFit="1" customWidth="1"/>
    <col min="35" max="35" width="13.77734375" bestFit="1" customWidth="1"/>
  </cols>
  <sheetData>
    <row r="1" spans="1:45" x14ac:dyDescent="0.3">
      <c r="A1" s="3"/>
      <c r="B1" s="3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8"/>
      <c r="AG1" s="78"/>
      <c r="AH1" s="78"/>
      <c r="AI1" s="79"/>
    </row>
    <row r="2" spans="1:45" x14ac:dyDescent="0.3">
      <c r="A2" s="70"/>
      <c r="B2" s="74"/>
      <c r="C2" s="65" t="e">
        <v>#VALUE!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57" t="s">
        <v>15</v>
      </c>
      <c r="AB2" s="57"/>
      <c r="AC2" s="57"/>
      <c r="AD2" s="57"/>
      <c r="AE2" s="57"/>
      <c r="AF2" s="78"/>
      <c r="AG2" s="78"/>
      <c r="AH2" s="78"/>
      <c r="AI2" s="79"/>
    </row>
    <row r="3" spans="1:45" x14ac:dyDescent="0.3">
      <c r="A3" s="70"/>
      <c r="B3" s="74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57"/>
      <c r="AB3" s="57"/>
      <c r="AC3" s="57"/>
      <c r="AD3" s="57"/>
      <c r="AE3" s="57"/>
      <c r="AF3" s="78"/>
      <c r="AG3" s="78"/>
      <c r="AH3" s="78"/>
      <c r="AI3" s="79"/>
    </row>
    <row r="4" spans="1:45" ht="14.55" customHeight="1" x14ac:dyDescent="0.3">
      <c r="A4" s="70"/>
      <c r="B4" s="74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80" t="s">
        <v>17</v>
      </c>
      <c r="AB4" s="80"/>
      <c r="AC4" s="80"/>
      <c r="AD4" s="80"/>
      <c r="AE4" s="80"/>
      <c r="AF4" s="78"/>
      <c r="AG4" s="78"/>
      <c r="AH4" s="78"/>
      <c r="AI4" s="79"/>
    </row>
    <row r="5" spans="1:45" x14ac:dyDescent="0.3">
      <c r="A5" s="70"/>
      <c r="B5" s="74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80"/>
      <c r="AB5" s="80"/>
      <c r="AC5" s="80"/>
      <c r="AD5" s="80"/>
      <c r="AE5" s="80"/>
      <c r="AF5" s="78"/>
      <c r="AG5" s="78"/>
      <c r="AH5" s="78"/>
      <c r="AI5" s="79"/>
    </row>
    <row r="6" spans="1:45" ht="14.55" customHeight="1" x14ac:dyDescent="0.3">
      <c r="A6" s="70"/>
      <c r="B6" s="74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80" t="s">
        <v>16</v>
      </c>
      <c r="AB6" s="80"/>
      <c r="AC6" s="80"/>
      <c r="AD6" s="80"/>
      <c r="AE6" s="80"/>
      <c r="AF6" s="78"/>
      <c r="AG6" s="78"/>
      <c r="AH6" s="78"/>
      <c r="AI6" s="79"/>
    </row>
    <row r="7" spans="1:45" x14ac:dyDescent="0.3">
      <c r="A7" s="70"/>
      <c r="B7" s="74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80"/>
      <c r="AB7" s="80"/>
      <c r="AC7" s="80"/>
      <c r="AD7" s="80"/>
      <c r="AE7" s="80"/>
      <c r="AF7" s="78"/>
      <c r="AG7" s="78"/>
      <c r="AH7" s="78"/>
      <c r="AI7" s="79"/>
    </row>
    <row r="8" spans="1:45" x14ac:dyDescent="0.3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F8" s="78"/>
      <c r="AG8" s="78"/>
      <c r="AH8" s="78"/>
      <c r="AI8" s="79"/>
    </row>
    <row r="9" spans="1:45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63"/>
      <c r="Z9" s="70"/>
      <c r="AA9" s="70"/>
      <c r="AB9" s="70"/>
      <c r="AC9" s="70"/>
      <c r="AD9" s="70"/>
      <c r="AE9" s="70"/>
      <c r="AF9" s="70"/>
      <c r="AG9" s="70"/>
      <c r="AH9" s="70"/>
      <c r="AI9" s="74"/>
    </row>
    <row r="10" spans="1:45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64"/>
      <c r="AD10" s="76"/>
      <c r="AE10" s="76"/>
      <c r="AF10" s="76"/>
      <c r="AG10" s="76"/>
      <c r="AH10" s="76"/>
      <c r="AI10" s="77"/>
    </row>
    <row r="11" spans="1:45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61"/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60"/>
      <c r="N11" s="1">
        <v>13</v>
      </c>
      <c r="O11" s="1">
        <v>14</v>
      </c>
      <c r="P11" s="1">
        <v>15</v>
      </c>
      <c r="Q11" s="1">
        <v>16</v>
      </c>
      <c r="R11" s="1">
        <v>17</v>
      </c>
      <c r="S11" s="60"/>
      <c r="T11" s="1">
        <v>21</v>
      </c>
      <c r="U11" s="1">
        <v>22</v>
      </c>
      <c r="V11" s="1">
        <v>23</v>
      </c>
      <c r="W11" s="1">
        <v>24</v>
      </c>
      <c r="X11" s="60"/>
      <c r="Y11" s="1">
        <v>27</v>
      </c>
      <c r="Z11" s="1">
        <v>28</v>
      </c>
      <c r="AA11" s="1">
        <v>29</v>
      </c>
      <c r="AB11" s="1">
        <v>30</v>
      </c>
      <c r="AC11" s="1">
        <v>31</v>
      </c>
      <c r="AD11" s="60"/>
      <c r="AE11" s="1" t="s">
        <v>1</v>
      </c>
      <c r="AF11" s="1" t="s">
        <v>2</v>
      </c>
      <c r="AG11" s="1" t="s">
        <v>3</v>
      </c>
      <c r="AH11" s="1" t="s">
        <v>4</v>
      </c>
      <c r="AI11" s="1" t="s">
        <v>5</v>
      </c>
      <c r="AL11" s="71" t="s">
        <v>9</v>
      </c>
      <c r="AM11" s="72"/>
      <c r="AN11" s="72"/>
      <c r="AO11" s="72"/>
      <c r="AP11" s="72"/>
      <c r="AQ11" s="72"/>
      <c r="AR11" s="72"/>
      <c r="AS11" s="73"/>
    </row>
    <row r="12" spans="1:45" s="3" customFormat="1" x14ac:dyDescent="0.3">
      <c r="A12" s="6">
        <v>1</v>
      </c>
      <c r="B12" s="47">
        <v>6</v>
      </c>
      <c r="C12" s="53" t="s">
        <v>57</v>
      </c>
      <c r="D12" s="60"/>
      <c r="E12" s="61"/>
      <c r="F12" s="61"/>
      <c r="G12" s="70"/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63"/>
      <c r="N12" s="1">
        <v>1</v>
      </c>
      <c r="O12" s="1">
        <v>1</v>
      </c>
      <c r="P12" s="1">
        <v>1</v>
      </c>
      <c r="Q12" s="1">
        <v>0</v>
      </c>
      <c r="R12" s="1">
        <v>1</v>
      </c>
      <c r="S12" s="63"/>
      <c r="T12" s="1">
        <v>1</v>
      </c>
      <c r="U12" s="1">
        <v>1</v>
      </c>
      <c r="V12" s="1">
        <v>1</v>
      </c>
      <c r="W12" s="1">
        <v>1</v>
      </c>
      <c r="X12" s="63"/>
      <c r="Y12" s="1">
        <v>0</v>
      </c>
      <c r="Z12" s="1">
        <v>1</v>
      </c>
      <c r="AA12" s="1">
        <v>1</v>
      </c>
      <c r="AB12" s="1">
        <v>1</v>
      </c>
      <c r="AC12" s="1">
        <v>1</v>
      </c>
      <c r="AD12" s="63"/>
      <c r="AE12" s="4">
        <f t="shared" ref="AE12:AE36" si="0">COUNTIF(D12:AC12,1)</f>
        <v>17</v>
      </c>
      <c r="AF12" s="4">
        <f t="shared" ref="AF12:AF36" si="1">COUNTIF(D12:AC12,0)</f>
        <v>2</v>
      </c>
      <c r="AG12" s="4">
        <f t="shared" ref="AG12:AG36" si="2">COUNTIF(D12:AC12,"T")</f>
        <v>0</v>
      </c>
      <c r="AH12" s="4">
        <f t="shared" ref="AH12:AH36" si="3">COUNTIF(D12:AC12,"J")</f>
        <v>0</v>
      </c>
      <c r="AI12" s="10">
        <f>SUM(AE12+AG12)/19</f>
        <v>0.89473684210526316</v>
      </c>
      <c r="AL12" s="17"/>
      <c r="AM12" s="14">
        <v>1</v>
      </c>
      <c r="AN12" s="3" t="s">
        <v>10</v>
      </c>
      <c r="AO12" s="8"/>
      <c r="AP12" s="8"/>
      <c r="AS12" s="18"/>
    </row>
    <row r="13" spans="1:45" s="3" customFormat="1" x14ac:dyDescent="0.3">
      <c r="A13" s="6">
        <v>2</v>
      </c>
      <c r="B13" s="47">
        <v>6</v>
      </c>
      <c r="C13" s="53" t="s">
        <v>58</v>
      </c>
      <c r="D13" s="63"/>
      <c r="E13" s="70"/>
      <c r="F13" s="70"/>
      <c r="G13" s="70"/>
      <c r="H13" s="1">
        <v>1</v>
      </c>
      <c r="I13" s="1">
        <v>1</v>
      </c>
      <c r="J13" s="1">
        <v>0</v>
      </c>
      <c r="K13" s="1">
        <v>1</v>
      </c>
      <c r="L13" s="1">
        <v>1</v>
      </c>
      <c r="M13" s="63"/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63"/>
      <c r="T13" s="1">
        <v>0</v>
      </c>
      <c r="U13" s="1">
        <v>0</v>
      </c>
      <c r="V13" s="1">
        <v>0</v>
      </c>
      <c r="W13" s="1">
        <v>0</v>
      </c>
      <c r="X13" s="63"/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63"/>
      <c r="AE13" s="4">
        <f t="shared" si="0"/>
        <v>7</v>
      </c>
      <c r="AF13" s="4">
        <f t="shared" si="1"/>
        <v>12</v>
      </c>
      <c r="AG13" s="4">
        <f t="shared" si="2"/>
        <v>0</v>
      </c>
      <c r="AH13" s="4">
        <f t="shared" si="3"/>
        <v>0</v>
      </c>
      <c r="AI13" s="10">
        <f t="shared" ref="AI13:AI36" si="4">SUM(AE13+AG13)/19</f>
        <v>0.36842105263157893</v>
      </c>
      <c r="AL13" s="17"/>
      <c r="AM13" s="15">
        <v>0</v>
      </c>
      <c r="AN13" s="3" t="s">
        <v>14</v>
      </c>
      <c r="AS13" s="18"/>
    </row>
    <row r="14" spans="1:45" s="3" customFormat="1" x14ac:dyDescent="0.3">
      <c r="A14" s="6">
        <v>3</v>
      </c>
      <c r="B14" s="47">
        <v>6</v>
      </c>
      <c r="C14" s="53" t="s">
        <v>59</v>
      </c>
      <c r="D14" s="63"/>
      <c r="E14" s="70"/>
      <c r="F14" s="70"/>
      <c r="G14" s="70"/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63"/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63"/>
      <c r="T14" s="1">
        <v>1</v>
      </c>
      <c r="U14" s="1">
        <v>1</v>
      </c>
      <c r="V14" s="1">
        <v>1</v>
      </c>
      <c r="W14" s="1">
        <v>1</v>
      </c>
      <c r="X14" s="63"/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63"/>
      <c r="AE14" s="4">
        <f t="shared" si="0"/>
        <v>19</v>
      </c>
      <c r="AF14" s="4">
        <f t="shared" si="1"/>
        <v>0</v>
      </c>
      <c r="AG14" s="4">
        <f t="shared" si="2"/>
        <v>0</v>
      </c>
      <c r="AH14" s="4">
        <f t="shared" si="3"/>
        <v>0</v>
      </c>
      <c r="AI14" s="10">
        <f t="shared" si="4"/>
        <v>1</v>
      </c>
      <c r="AL14" s="17"/>
      <c r="AM14" s="16" t="s">
        <v>11</v>
      </c>
      <c r="AN14" s="3" t="s">
        <v>12</v>
      </c>
      <c r="AS14" s="18"/>
    </row>
    <row r="15" spans="1:45" ht="15" thickBot="1" x14ac:dyDescent="0.35">
      <c r="A15" s="6">
        <v>4</v>
      </c>
      <c r="B15" s="47">
        <v>7</v>
      </c>
      <c r="C15" s="53" t="s">
        <v>60</v>
      </c>
      <c r="D15" s="63"/>
      <c r="E15" s="70"/>
      <c r="F15" s="70"/>
      <c r="G15" s="70"/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63"/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63"/>
      <c r="T15" s="1">
        <v>0</v>
      </c>
      <c r="U15" s="1">
        <v>0</v>
      </c>
      <c r="V15" s="1">
        <v>0</v>
      </c>
      <c r="W15" s="1">
        <v>0</v>
      </c>
      <c r="X15" s="63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63"/>
      <c r="AE15" s="4">
        <f t="shared" si="0"/>
        <v>10</v>
      </c>
      <c r="AF15" s="4">
        <f t="shared" si="1"/>
        <v>9</v>
      </c>
      <c r="AG15" s="4">
        <f t="shared" si="2"/>
        <v>0</v>
      </c>
      <c r="AH15" s="4">
        <f t="shared" si="3"/>
        <v>0</v>
      </c>
      <c r="AI15" s="10">
        <f t="shared" si="4"/>
        <v>0.52631578947368418</v>
      </c>
      <c r="AL15" s="19"/>
      <c r="AM15" s="20" t="s">
        <v>6</v>
      </c>
      <c r="AN15" s="21" t="s">
        <v>13</v>
      </c>
      <c r="AO15" s="22"/>
      <c r="AP15" s="22"/>
      <c r="AQ15" s="22"/>
      <c r="AR15" s="22"/>
      <c r="AS15" s="23"/>
    </row>
    <row r="16" spans="1:45" x14ac:dyDescent="0.3">
      <c r="A16" s="6">
        <v>5</v>
      </c>
      <c r="B16" s="47">
        <v>7</v>
      </c>
      <c r="C16" s="53" t="s">
        <v>61</v>
      </c>
      <c r="D16" s="63"/>
      <c r="E16" s="70"/>
      <c r="F16" s="70"/>
      <c r="G16" s="70"/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63"/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63"/>
      <c r="T16" s="1">
        <v>1</v>
      </c>
      <c r="U16" s="1">
        <v>1</v>
      </c>
      <c r="V16" s="1">
        <v>1</v>
      </c>
      <c r="W16" s="1">
        <v>1</v>
      </c>
      <c r="X16" s="63"/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63"/>
      <c r="AE16" s="4">
        <f t="shared" si="0"/>
        <v>19</v>
      </c>
      <c r="AF16" s="4">
        <f t="shared" si="1"/>
        <v>0</v>
      </c>
      <c r="AG16" s="4">
        <f t="shared" si="2"/>
        <v>0</v>
      </c>
      <c r="AH16" s="4">
        <f t="shared" si="3"/>
        <v>0</v>
      </c>
      <c r="AI16" s="10">
        <f t="shared" si="4"/>
        <v>1</v>
      </c>
      <c r="AM16" t="s">
        <v>50</v>
      </c>
      <c r="AN16" s="3" t="s">
        <v>51</v>
      </c>
    </row>
    <row r="17" spans="1:43" x14ac:dyDescent="0.3">
      <c r="A17" s="6">
        <v>6</v>
      </c>
      <c r="B17" s="47">
        <v>7</v>
      </c>
      <c r="C17" s="53" t="s">
        <v>62</v>
      </c>
      <c r="D17" s="63"/>
      <c r="E17" s="70"/>
      <c r="F17" s="70"/>
      <c r="G17" s="70"/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63"/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63"/>
      <c r="T17" s="1">
        <v>1</v>
      </c>
      <c r="U17" s="1">
        <v>1</v>
      </c>
      <c r="V17" s="1">
        <v>0</v>
      </c>
      <c r="W17" s="1">
        <v>1</v>
      </c>
      <c r="X17" s="63"/>
      <c r="Y17" s="1">
        <v>0</v>
      </c>
      <c r="Z17" s="1">
        <v>1</v>
      </c>
      <c r="AA17" s="1">
        <v>1</v>
      </c>
      <c r="AB17" s="1">
        <v>1</v>
      </c>
      <c r="AC17" s="1">
        <v>1</v>
      </c>
      <c r="AD17" s="63"/>
      <c r="AE17" s="4">
        <f t="shared" si="0"/>
        <v>17</v>
      </c>
      <c r="AF17" s="4">
        <f t="shared" si="1"/>
        <v>2</v>
      </c>
      <c r="AG17" s="4">
        <f t="shared" si="2"/>
        <v>0</v>
      </c>
      <c r="AH17" s="4">
        <f t="shared" si="3"/>
        <v>0</v>
      </c>
      <c r="AI17" s="10">
        <f t="shared" si="4"/>
        <v>0.89473684210526316</v>
      </c>
    </row>
    <row r="18" spans="1:43" x14ac:dyDescent="0.3">
      <c r="A18" s="6">
        <v>7</v>
      </c>
      <c r="B18" s="47">
        <v>7</v>
      </c>
      <c r="C18" s="53" t="s">
        <v>63</v>
      </c>
      <c r="D18" s="63"/>
      <c r="E18" s="70"/>
      <c r="F18" s="70"/>
      <c r="G18" s="70"/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63"/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63"/>
      <c r="T18" s="1">
        <v>1</v>
      </c>
      <c r="U18" s="1">
        <v>1</v>
      </c>
      <c r="V18" s="1">
        <v>1</v>
      </c>
      <c r="W18" s="1">
        <v>1</v>
      </c>
      <c r="X18" s="63"/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63"/>
      <c r="AE18" s="4">
        <f t="shared" si="0"/>
        <v>19</v>
      </c>
      <c r="AF18" s="4">
        <f t="shared" si="1"/>
        <v>0</v>
      </c>
      <c r="AG18" s="4">
        <f t="shared" si="2"/>
        <v>0</v>
      </c>
      <c r="AH18" s="4">
        <f t="shared" si="3"/>
        <v>0</v>
      </c>
      <c r="AI18" s="10">
        <f t="shared" si="4"/>
        <v>1</v>
      </c>
      <c r="AN18" s="8"/>
      <c r="AP18" s="3"/>
      <c r="AQ18" s="3"/>
    </row>
    <row r="19" spans="1:43" x14ac:dyDescent="0.3">
      <c r="A19" s="6">
        <v>8</v>
      </c>
      <c r="B19" s="47">
        <v>7</v>
      </c>
      <c r="C19" s="53" t="s">
        <v>64</v>
      </c>
      <c r="D19" s="63"/>
      <c r="E19" s="70"/>
      <c r="F19" s="70"/>
      <c r="G19" s="70"/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63"/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63"/>
      <c r="T19" s="1">
        <v>1</v>
      </c>
      <c r="U19" s="1">
        <v>1</v>
      </c>
      <c r="V19" s="1">
        <v>1</v>
      </c>
      <c r="W19" s="1">
        <v>1</v>
      </c>
      <c r="X19" s="63"/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63"/>
      <c r="AE19" s="4">
        <f t="shared" si="0"/>
        <v>19</v>
      </c>
      <c r="AF19" s="4">
        <f t="shared" si="1"/>
        <v>0</v>
      </c>
      <c r="AG19" s="4">
        <f t="shared" si="2"/>
        <v>0</v>
      </c>
      <c r="AH19" s="4">
        <f t="shared" si="3"/>
        <v>0</v>
      </c>
      <c r="AI19" s="10">
        <f t="shared" si="4"/>
        <v>1</v>
      </c>
      <c r="AN19" s="8"/>
    </row>
    <row r="20" spans="1:43" x14ac:dyDescent="0.3">
      <c r="A20" s="6">
        <v>9</v>
      </c>
      <c r="B20" s="47">
        <v>7</v>
      </c>
      <c r="C20" s="53" t="s">
        <v>65</v>
      </c>
      <c r="D20" s="63"/>
      <c r="E20" s="70"/>
      <c r="F20" s="70"/>
      <c r="G20" s="70"/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63"/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63"/>
      <c r="T20" s="1">
        <v>1</v>
      </c>
      <c r="U20" s="1">
        <v>1</v>
      </c>
      <c r="V20" s="1">
        <v>1</v>
      </c>
      <c r="W20" s="1">
        <v>1</v>
      </c>
      <c r="X20" s="63"/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63"/>
      <c r="AE20" s="4">
        <f t="shared" si="0"/>
        <v>19</v>
      </c>
      <c r="AF20" s="4">
        <f t="shared" si="1"/>
        <v>0</v>
      </c>
      <c r="AG20" s="4">
        <f t="shared" si="2"/>
        <v>0</v>
      </c>
      <c r="AH20" s="4">
        <f t="shared" si="3"/>
        <v>0</v>
      </c>
      <c r="AI20" s="10">
        <f t="shared" si="4"/>
        <v>1</v>
      </c>
      <c r="AN20" s="8"/>
      <c r="AO20" s="3"/>
      <c r="AP20" s="3"/>
      <c r="AQ20" s="3"/>
    </row>
    <row r="21" spans="1:43" x14ac:dyDescent="0.3">
      <c r="A21" s="6">
        <v>10</v>
      </c>
      <c r="B21" s="47">
        <v>7</v>
      </c>
      <c r="C21" s="53" t="s">
        <v>66</v>
      </c>
      <c r="D21" s="63"/>
      <c r="E21" s="70"/>
      <c r="F21" s="70"/>
      <c r="G21" s="70"/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63"/>
      <c r="N21" s="1">
        <v>1</v>
      </c>
      <c r="O21" s="1">
        <v>0</v>
      </c>
      <c r="P21" s="1">
        <v>1</v>
      </c>
      <c r="Q21" s="1">
        <v>0</v>
      </c>
      <c r="R21" s="1">
        <v>1</v>
      </c>
      <c r="S21" s="63"/>
      <c r="T21" s="1">
        <v>1</v>
      </c>
      <c r="U21" s="1">
        <v>1</v>
      </c>
      <c r="V21" s="1">
        <v>1</v>
      </c>
      <c r="W21" s="1">
        <v>1</v>
      </c>
      <c r="X21" s="63"/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63"/>
      <c r="AE21" s="4">
        <f t="shared" si="0"/>
        <v>17</v>
      </c>
      <c r="AF21" s="4">
        <f t="shared" si="1"/>
        <v>2</v>
      </c>
      <c r="AG21" s="4">
        <f t="shared" si="2"/>
        <v>0</v>
      </c>
      <c r="AH21" s="4">
        <f t="shared" si="3"/>
        <v>0</v>
      </c>
      <c r="AI21" s="10">
        <f t="shared" si="4"/>
        <v>0.89473684210526316</v>
      </c>
      <c r="AN21" s="7"/>
    </row>
    <row r="22" spans="1:43" x14ac:dyDescent="0.3">
      <c r="A22" s="6">
        <v>11</v>
      </c>
      <c r="B22" s="47">
        <v>8</v>
      </c>
      <c r="C22" s="53" t="s">
        <v>67</v>
      </c>
      <c r="D22" s="63"/>
      <c r="E22" s="70"/>
      <c r="F22" s="70"/>
      <c r="G22" s="70"/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63"/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63"/>
      <c r="T22" s="1">
        <v>1</v>
      </c>
      <c r="U22" s="1">
        <v>1</v>
      </c>
      <c r="V22" s="1">
        <v>1</v>
      </c>
      <c r="W22" s="1">
        <v>1</v>
      </c>
      <c r="X22" s="63"/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63"/>
      <c r="AE22" s="4">
        <f t="shared" si="0"/>
        <v>17</v>
      </c>
      <c r="AF22" s="4">
        <f t="shared" si="1"/>
        <v>2</v>
      </c>
      <c r="AG22" s="4">
        <f t="shared" si="2"/>
        <v>0</v>
      </c>
      <c r="AH22" s="4">
        <f t="shared" si="3"/>
        <v>0</v>
      </c>
      <c r="AI22" s="10">
        <f t="shared" si="4"/>
        <v>0.89473684210526316</v>
      </c>
    </row>
    <row r="23" spans="1:43" x14ac:dyDescent="0.3">
      <c r="A23" s="6">
        <v>12</v>
      </c>
      <c r="B23" s="47">
        <v>8</v>
      </c>
      <c r="C23" s="53" t="s">
        <v>68</v>
      </c>
      <c r="D23" s="63"/>
      <c r="E23" s="70"/>
      <c r="F23" s="70"/>
      <c r="G23" s="70"/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63"/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63"/>
      <c r="T23" s="1">
        <v>0</v>
      </c>
      <c r="U23" s="1">
        <v>0</v>
      </c>
      <c r="V23" s="1">
        <v>0</v>
      </c>
      <c r="W23" s="1">
        <v>0</v>
      </c>
      <c r="X23" s="63"/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63"/>
      <c r="AE23" s="4">
        <f t="shared" si="0"/>
        <v>0</v>
      </c>
      <c r="AF23" s="4">
        <f t="shared" si="1"/>
        <v>19</v>
      </c>
      <c r="AG23" s="4">
        <f t="shared" si="2"/>
        <v>0</v>
      </c>
      <c r="AH23" s="4">
        <f t="shared" si="3"/>
        <v>0</v>
      </c>
      <c r="AI23" s="10">
        <f t="shared" si="4"/>
        <v>0</v>
      </c>
    </row>
    <row r="24" spans="1:43" x14ac:dyDescent="0.3">
      <c r="A24" s="6">
        <v>13</v>
      </c>
      <c r="B24" s="47">
        <v>8</v>
      </c>
      <c r="C24" s="53" t="s">
        <v>69</v>
      </c>
      <c r="D24" s="63"/>
      <c r="E24" s="70"/>
      <c r="F24" s="70"/>
      <c r="G24" s="70"/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63"/>
      <c r="N24" s="1">
        <v>1</v>
      </c>
      <c r="O24" s="1">
        <v>0</v>
      </c>
      <c r="P24" s="1">
        <v>1</v>
      </c>
      <c r="Q24" s="1">
        <v>1</v>
      </c>
      <c r="R24" s="1">
        <v>1</v>
      </c>
      <c r="S24" s="63"/>
      <c r="T24" s="1">
        <v>1</v>
      </c>
      <c r="U24" s="1">
        <v>1</v>
      </c>
      <c r="V24" s="1">
        <v>0</v>
      </c>
      <c r="W24" s="1">
        <v>1</v>
      </c>
      <c r="X24" s="63"/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63"/>
      <c r="AE24" s="4">
        <f t="shared" si="0"/>
        <v>17</v>
      </c>
      <c r="AF24" s="4">
        <f t="shared" si="1"/>
        <v>2</v>
      </c>
      <c r="AG24" s="4">
        <f t="shared" si="2"/>
        <v>0</v>
      </c>
      <c r="AH24" s="4">
        <f t="shared" si="3"/>
        <v>0</v>
      </c>
      <c r="AI24" s="10">
        <f t="shared" si="4"/>
        <v>0.89473684210526316</v>
      </c>
    </row>
    <row r="25" spans="1:43" x14ac:dyDescent="0.3">
      <c r="A25" s="6">
        <v>14</v>
      </c>
      <c r="B25" s="47">
        <v>8</v>
      </c>
      <c r="C25" s="53" t="s">
        <v>70</v>
      </c>
      <c r="D25" s="63"/>
      <c r="E25" s="70"/>
      <c r="F25" s="70"/>
      <c r="G25" s="70"/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63"/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63"/>
      <c r="T25" s="1">
        <v>1</v>
      </c>
      <c r="U25" s="1">
        <v>1</v>
      </c>
      <c r="V25" s="1">
        <v>1</v>
      </c>
      <c r="W25" s="1">
        <v>1</v>
      </c>
      <c r="X25" s="63"/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63"/>
      <c r="AE25" s="4">
        <f t="shared" si="0"/>
        <v>19</v>
      </c>
      <c r="AF25" s="4">
        <f t="shared" si="1"/>
        <v>0</v>
      </c>
      <c r="AG25" s="4">
        <f t="shared" si="2"/>
        <v>0</v>
      </c>
      <c r="AH25" s="4">
        <f t="shared" si="3"/>
        <v>0</v>
      </c>
      <c r="AI25" s="10">
        <f t="shared" si="4"/>
        <v>1</v>
      </c>
    </row>
    <row r="26" spans="1:43" x14ac:dyDescent="0.3">
      <c r="A26" s="6">
        <v>15</v>
      </c>
      <c r="B26" s="47">
        <v>8</v>
      </c>
      <c r="C26" s="53" t="s">
        <v>71</v>
      </c>
      <c r="D26" s="63"/>
      <c r="E26" s="70"/>
      <c r="F26" s="70"/>
      <c r="G26" s="70"/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63"/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63"/>
      <c r="T26" s="1">
        <v>1</v>
      </c>
      <c r="U26" s="1">
        <v>1</v>
      </c>
      <c r="V26" s="1">
        <v>1</v>
      </c>
      <c r="W26" s="1">
        <v>1</v>
      </c>
      <c r="X26" s="63"/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63"/>
      <c r="AE26" s="4">
        <f t="shared" si="0"/>
        <v>19</v>
      </c>
      <c r="AF26" s="4">
        <f t="shared" si="1"/>
        <v>0</v>
      </c>
      <c r="AG26" s="4">
        <f t="shared" si="2"/>
        <v>0</v>
      </c>
      <c r="AH26" s="4">
        <f t="shared" si="3"/>
        <v>0</v>
      </c>
      <c r="AI26" s="10">
        <f t="shared" si="4"/>
        <v>1</v>
      </c>
    </row>
    <row r="27" spans="1:43" x14ac:dyDescent="0.3">
      <c r="A27" s="6">
        <v>16</v>
      </c>
      <c r="B27" s="54">
        <v>9</v>
      </c>
      <c r="C27" s="53" t="s">
        <v>72</v>
      </c>
      <c r="D27" s="63"/>
      <c r="E27" s="70"/>
      <c r="F27" s="70"/>
      <c r="G27" s="70"/>
      <c r="H27" s="1">
        <v>0</v>
      </c>
      <c r="I27" s="1">
        <v>1</v>
      </c>
      <c r="J27" s="1">
        <v>1</v>
      </c>
      <c r="K27" s="1">
        <v>1</v>
      </c>
      <c r="L27" s="1">
        <v>1</v>
      </c>
      <c r="M27" s="63"/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63"/>
      <c r="T27" s="1">
        <v>1</v>
      </c>
      <c r="U27" s="1">
        <v>1</v>
      </c>
      <c r="V27" s="1">
        <v>1</v>
      </c>
      <c r="W27" s="1">
        <v>1</v>
      </c>
      <c r="X27" s="63"/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63"/>
      <c r="AE27" s="4">
        <f t="shared" si="0"/>
        <v>18</v>
      </c>
      <c r="AF27" s="4">
        <f t="shared" si="1"/>
        <v>1</v>
      </c>
      <c r="AG27" s="4">
        <f t="shared" si="2"/>
        <v>0</v>
      </c>
      <c r="AH27" s="4">
        <f t="shared" si="3"/>
        <v>0</v>
      </c>
      <c r="AI27" s="10">
        <f t="shared" si="4"/>
        <v>0.94736842105263153</v>
      </c>
    </row>
    <row r="28" spans="1:43" x14ac:dyDescent="0.3">
      <c r="A28" s="6">
        <v>17</v>
      </c>
      <c r="B28" s="54">
        <v>9</v>
      </c>
      <c r="C28" s="53" t="s">
        <v>73</v>
      </c>
      <c r="D28" s="63"/>
      <c r="E28" s="70"/>
      <c r="F28" s="70"/>
      <c r="G28" s="70"/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63"/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63"/>
      <c r="T28" s="1">
        <v>1</v>
      </c>
      <c r="U28" s="1">
        <v>1</v>
      </c>
      <c r="V28" s="1">
        <v>1</v>
      </c>
      <c r="W28" s="1">
        <v>1</v>
      </c>
      <c r="X28" s="63"/>
      <c r="Y28" s="1">
        <v>0</v>
      </c>
      <c r="Z28" s="1">
        <v>1</v>
      </c>
      <c r="AA28" s="1">
        <v>1</v>
      </c>
      <c r="AB28" s="1">
        <v>1</v>
      </c>
      <c r="AC28" s="1">
        <v>1</v>
      </c>
      <c r="AD28" s="63"/>
      <c r="AE28" s="4">
        <f t="shared" si="0"/>
        <v>18</v>
      </c>
      <c r="AF28" s="4">
        <f t="shared" si="1"/>
        <v>1</v>
      </c>
      <c r="AG28" s="4">
        <f t="shared" si="2"/>
        <v>0</v>
      </c>
      <c r="AH28" s="4">
        <f t="shared" si="3"/>
        <v>0</v>
      </c>
      <c r="AI28" s="10">
        <f t="shared" si="4"/>
        <v>0.94736842105263153</v>
      </c>
    </row>
    <row r="29" spans="1:43" x14ac:dyDescent="0.3">
      <c r="A29" s="6">
        <v>18</v>
      </c>
      <c r="B29" s="54">
        <v>9</v>
      </c>
      <c r="C29" s="53" t="s">
        <v>74</v>
      </c>
      <c r="D29" s="63"/>
      <c r="E29" s="70"/>
      <c r="F29" s="70"/>
      <c r="G29" s="70"/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63"/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63"/>
      <c r="T29" s="1">
        <v>1</v>
      </c>
      <c r="U29" s="1">
        <v>1</v>
      </c>
      <c r="V29" s="1">
        <v>1</v>
      </c>
      <c r="W29" s="1">
        <v>1</v>
      </c>
      <c r="X29" s="63"/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63"/>
      <c r="AE29" s="4">
        <f t="shared" si="0"/>
        <v>19</v>
      </c>
      <c r="AF29" s="4">
        <f t="shared" si="1"/>
        <v>0</v>
      </c>
      <c r="AG29" s="4">
        <f t="shared" si="2"/>
        <v>0</v>
      </c>
      <c r="AH29" s="4">
        <f t="shared" si="3"/>
        <v>0</v>
      </c>
      <c r="AI29" s="10">
        <f t="shared" si="4"/>
        <v>1</v>
      </c>
    </row>
    <row r="30" spans="1:43" x14ac:dyDescent="0.3">
      <c r="A30" s="6">
        <v>19</v>
      </c>
      <c r="B30" s="54">
        <v>9</v>
      </c>
      <c r="C30" s="53" t="s">
        <v>75</v>
      </c>
      <c r="D30" s="63"/>
      <c r="E30" s="70"/>
      <c r="F30" s="70"/>
      <c r="G30" s="70"/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63"/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63"/>
      <c r="T30" s="1">
        <v>1</v>
      </c>
      <c r="U30" s="1">
        <v>1</v>
      </c>
      <c r="V30" s="1">
        <v>1</v>
      </c>
      <c r="W30" s="1">
        <v>1</v>
      </c>
      <c r="X30" s="63"/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63"/>
      <c r="AE30" s="4">
        <f t="shared" si="0"/>
        <v>19</v>
      </c>
      <c r="AF30" s="4">
        <f t="shared" si="1"/>
        <v>0</v>
      </c>
      <c r="AG30" s="4">
        <f t="shared" si="2"/>
        <v>0</v>
      </c>
      <c r="AH30" s="4">
        <f t="shared" si="3"/>
        <v>0</v>
      </c>
      <c r="AI30" s="10">
        <f t="shared" si="4"/>
        <v>1</v>
      </c>
    </row>
    <row r="31" spans="1:43" x14ac:dyDescent="0.3">
      <c r="A31" s="6">
        <v>20</v>
      </c>
      <c r="B31" s="54">
        <v>9</v>
      </c>
      <c r="C31" s="53" t="s">
        <v>76</v>
      </c>
      <c r="D31" s="63"/>
      <c r="E31" s="70"/>
      <c r="F31" s="70"/>
      <c r="G31" s="70"/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63"/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63"/>
      <c r="T31" s="1">
        <v>1</v>
      </c>
      <c r="U31" s="1">
        <v>1</v>
      </c>
      <c r="V31" s="1">
        <v>1</v>
      </c>
      <c r="W31" s="1">
        <v>1</v>
      </c>
      <c r="X31" s="63"/>
      <c r="Y31" s="1">
        <v>1</v>
      </c>
      <c r="Z31" s="1">
        <v>1</v>
      </c>
      <c r="AA31" s="1">
        <v>0</v>
      </c>
      <c r="AB31" s="1">
        <v>1</v>
      </c>
      <c r="AC31" s="1">
        <v>1</v>
      </c>
      <c r="AD31" s="63"/>
      <c r="AE31" s="4">
        <f t="shared" si="0"/>
        <v>18</v>
      </c>
      <c r="AF31" s="4">
        <f t="shared" si="1"/>
        <v>1</v>
      </c>
      <c r="AG31" s="4">
        <f t="shared" si="2"/>
        <v>0</v>
      </c>
      <c r="AH31" s="4">
        <f t="shared" si="3"/>
        <v>0</v>
      </c>
      <c r="AI31" s="10">
        <f t="shared" si="4"/>
        <v>0.94736842105263153</v>
      </c>
    </row>
    <row r="32" spans="1:43" x14ac:dyDescent="0.3">
      <c r="A32" s="6">
        <v>21</v>
      </c>
      <c r="B32" s="54">
        <v>10</v>
      </c>
      <c r="C32" s="53" t="s">
        <v>77</v>
      </c>
      <c r="D32" s="63"/>
      <c r="E32" s="70"/>
      <c r="F32" s="70"/>
      <c r="G32" s="70"/>
      <c r="H32" s="1">
        <v>0</v>
      </c>
      <c r="I32" s="1">
        <v>1</v>
      </c>
      <c r="J32" s="1">
        <v>1</v>
      </c>
      <c r="K32" s="1">
        <v>1</v>
      </c>
      <c r="L32" s="1">
        <v>1</v>
      </c>
      <c r="M32" s="63"/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63"/>
      <c r="T32" s="1">
        <v>1</v>
      </c>
      <c r="U32" s="1">
        <v>1</v>
      </c>
      <c r="V32" s="1">
        <v>1</v>
      </c>
      <c r="W32" s="1">
        <v>1</v>
      </c>
      <c r="X32" s="63"/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63"/>
      <c r="AE32" s="4">
        <f t="shared" si="0"/>
        <v>18</v>
      </c>
      <c r="AF32" s="4">
        <f t="shared" si="1"/>
        <v>1</v>
      </c>
      <c r="AG32" s="4">
        <f t="shared" si="2"/>
        <v>0</v>
      </c>
      <c r="AH32" s="4">
        <f t="shared" si="3"/>
        <v>0</v>
      </c>
      <c r="AI32" s="10">
        <f t="shared" si="4"/>
        <v>0.94736842105263153</v>
      </c>
    </row>
    <row r="33" spans="1:35" x14ac:dyDescent="0.3">
      <c r="A33" s="6">
        <v>22</v>
      </c>
      <c r="B33" s="54">
        <v>10</v>
      </c>
      <c r="C33" s="53" t="s">
        <v>78</v>
      </c>
      <c r="D33" s="63"/>
      <c r="E33" s="70"/>
      <c r="F33" s="70"/>
      <c r="G33" s="70"/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63"/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63"/>
      <c r="T33" s="1">
        <v>1</v>
      </c>
      <c r="U33" s="1">
        <v>1</v>
      </c>
      <c r="V33" s="1">
        <v>1</v>
      </c>
      <c r="W33" s="1">
        <v>1</v>
      </c>
      <c r="X33" s="63"/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63"/>
      <c r="AE33" s="4">
        <f t="shared" si="0"/>
        <v>19</v>
      </c>
      <c r="AF33" s="4">
        <f t="shared" si="1"/>
        <v>0</v>
      </c>
      <c r="AG33" s="4">
        <f t="shared" si="2"/>
        <v>0</v>
      </c>
      <c r="AH33" s="4">
        <f t="shared" si="3"/>
        <v>0</v>
      </c>
      <c r="AI33" s="10">
        <f t="shared" si="4"/>
        <v>1</v>
      </c>
    </row>
    <row r="34" spans="1:35" x14ac:dyDescent="0.3">
      <c r="A34" s="6">
        <v>23</v>
      </c>
      <c r="B34" s="54">
        <v>10</v>
      </c>
      <c r="C34" s="53" t="s">
        <v>79</v>
      </c>
      <c r="D34" s="63"/>
      <c r="E34" s="70"/>
      <c r="F34" s="70"/>
      <c r="G34" s="70"/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63"/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63"/>
      <c r="T34" s="1">
        <v>1</v>
      </c>
      <c r="U34" s="1">
        <v>1</v>
      </c>
      <c r="V34" s="1">
        <v>1</v>
      </c>
      <c r="W34" s="1">
        <v>1</v>
      </c>
      <c r="X34" s="63"/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63"/>
      <c r="AE34" s="4">
        <f t="shared" si="0"/>
        <v>19</v>
      </c>
      <c r="AF34" s="4">
        <f t="shared" si="1"/>
        <v>0</v>
      </c>
      <c r="AG34" s="4">
        <f t="shared" si="2"/>
        <v>0</v>
      </c>
      <c r="AH34" s="4">
        <f t="shared" si="3"/>
        <v>0</v>
      </c>
      <c r="AI34" s="10">
        <f t="shared" si="4"/>
        <v>1</v>
      </c>
    </row>
    <row r="35" spans="1:35" x14ac:dyDescent="0.3">
      <c r="A35" s="6">
        <v>24</v>
      </c>
      <c r="B35" s="54">
        <v>10</v>
      </c>
      <c r="C35" s="55" t="s">
        <v>80</v>
      </c>
      <c r="D35" s="63"/>
      <c r="E35" s="70"/>
      <c r="F35" s="70"/>
      <c r="G35" s="70"/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63"/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63"/>
      <c r="T35" s="1">
        <v>1</v>
      </c>
      <c r="U35" s="1">
        <v>1</v>
      </c>
      <c r="V35" s="1">
        <v>1</v>
      </c>
      <c r="W35" s="1">
        <v>1</v>
      </c>
      <c r="X35" s="63"/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63"/>
      <c r="AE35" s="4">
        <f t="shared" si="0"/>
        <v>19</v>
      </c>
      <c r="AF35" s="4">
        <f t="shared" si="1"/>
        <v>0</v>
      </c>
      <c r="AG35" s="4">
        <f t="shared" si="2"/>
        <v>0</v>
      </c>
      <c r="AH35" s="4">
        <f t="shared" si="3"/>
        <v>0</v>
      </c>
      <c r="AI35" s="10">
        <f t="shared" si="4"/>
        <v>1</v>
      </c>
    </row>
    <row r="36" spans="1:35" x14ac:dyDescent="0.3">
      <c r="A36" s="6">
        <v>25</v>
      </c>
      <c r="B36" s="54">
        <v>10</v>
      </c>
      <c r="C36" s="55" t="s">
        <v>81</v>
      </c>
      <c r="D36" s="63"/>
      <c r="E36" s="70"/>
      <c r="F36" s="70"/>
      <c r="G36" s="70"/>
      <c r="H36" s="1">
        <v>1</v>
      </c>
      <c r="I36" s="1">
        <v>0</v>
      </c>
      <c r="J36" s="1">
        <v>1</v>
      </c>
      <c r="K36" s="1">
        <v>0</v>
      </c>
      <c r="L36" s="1">
        <v>1</v>
      </c>
      <c r="M36" s="63"/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63"/>
      <c r="T36" s="1">
        <v>1</v>
      </c>
      <c r="U36" s="1">
        <v>1</v>
      </c>
      <c r="V36" s="1">
        <v>0</v>
      </c>
      <c r="W36" s="1">
        <v>0</v>
      </c>
      <c r="X36" s="63"/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63"/>
      <c r="AE36" s="4">
        <f t="shared" si="0"/>
        <v>15</v>
      </c>
      <c r="AF36" s="4">
        <f t="shared" si="1"/>
        <v>4</v>
      </c>
      <c r="AG36" s="4">
        <f t="shared" si="2"/>
        <v>0</v>
      </c>
      <c r="AH36" s="4">
        <f t="shared" si="3"/>
        <v>0</v>
      </c>
      <c r="AI36" s="10">
        <f t="shared" si="4"/>
        <v>0.78947368421052633</v>
      </c>
    </row>
    <row r="37" spans="1:35" x14ac:dyDescent="0.3">
      <c r="A37" s="6">
        <v>26</v>
      </c>
      <c r="B37" s="54">
        <v>10</v>
      </c>
      <c r="C37" s="53" t="s">
        <v>82</v>
      </c>
      <c r="D37" s="63"/>
      <c r="E37" s="70"/>
      <c r="F37" s="70"/>
      <c r="G37" s="70"/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63"/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63"/>
      <c r="T37" s="1">
        <v>1</v>
      </c>
      <c r="U37" s="1">
        <v>0</v>
      </c>
      <c r="V37" s="1">
        <v>1</v>
      </c>
      <c r="W37" s="1">
        <v>1</v>
      </c>
      <c r="X37" s="63"/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63"/>
      <c r="AE37" s="4">
        <f t="shared" ref="AE37:AE39" si="5">COUNTIF(D37:AC37,1)</f>
        <v>18</v>
      </c>
      <c r="AF37" s="4">
        <f t="shared" ref="AF37:AF39" si="6">COUNTIF(D37:AC37,0)</f>
        <v>1</v>
      </c>
      <c r="AG37" s="4">
        <f t="shared" ref="AG37:AG39" si="7">COUNTIF(D37:AC37,"T")</f>
        <v>0</v>
      </c>
      <c r="AH37" s="4">
        <f t="shared" ref="AH37:AH39" si="8">COUNTIF(D37:AC37,"J")</f>
        <v>0</v>
      </c>
      <c r="AI37" s="10">
        <f t="shared" ref="AI37:AI39" si="9">SUM(AE37+AG37)/19</f>
        <v>0.94736842105263153</v>
      </c>
    </row>
    <row r="38" spans="1:35" x14ac:dyDescent="0.3">
      <c r="A38" s="6">
        <v>27</v>
      </c>
      <c r="B38" s="54">
        <v>10</v>
      </c>
      <c r="C38" s="53" t="s">
        <v>83</v>
      </c>
      <c r="D38" s="63"/>
      <c r="E38" s="70"/>
      <c r="F38" s="70"/>
      <c r="G38" s="70"/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63"/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63"/>
      <c r="T38" s="1">
        <v>1</v>
      </c>
      <c r="U38" s="1">
        <v>1</v>
      </c>
      <c r="V38" s="1">
        <v>1</v>
      </c>
      <c r="W38" s="1">
        <v>1</v>
      </c>
      <c r="X38" s="63"/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63"/>
      <c r="AE38" s="4">
        <f t="shared" si="5"/>
        <v>19</v>
      </c>
      <c r="AF38" s="4">
        <f t="shared" si="6"/>
        <v>0</v>
      </c>
      <c r="AG38" s="4">
        <f t="shared" si="7"/>
        <v>0</v>
      </c>
      <c r="AH38" s="4">
        <f t="shared" si="8"/>
        <v>0</v>
      </c>
      <c r="AI38" s="10">
        <f t="shared" si="9"/>
        <v>1</v>
      </c>
    </row>
    <row r="39" spans="1:35" x14ac:dyDescent="0.3">
      <c r="A39" s="6">
        <v>28</v>
      </c>
      <c r="B39" s="54">
        <v>11</v>
      </c>
      <c r="C39" s="53" t="s">
        <v>84</v>
      </c>
      <c r="D39" s="63"/>
      <c r="E39" s="70"/>
      <c r="F39" s="70"/>
      <c r="G39" s="70"/>
      <c r="H39" s="1">
        <v>0</v>
      </c>
      <c r="I39" s="1">
        <v>1</v>
      </c>
      <c r="J39" s="1">
        <v>1</v>
      </c>
      <c r="K39" s="1">
        <v>1</v>
      </c>
      <c r="L39" s="1">
        <v>1</v>
      </c>
      <c r="M39" s="63"/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63"/>
      <c r="T39" s="1">
        <v>1</v>
      </c>
      <c r="U39" s="1">
        <v>1</v>
      </c>
      <c r="V39" s="1">
        <v>1</v>
      </c>
      <c r="W39" s="1">
        <v>0</v>
      </c>
      <c r="X39" s="63"/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63"/>
      <c r="AE39" s="4">
        <f t="shared" si="5"/>
        <v>17</v>
      </c>
      <c r="AF39" s="4">
        <f t="shared" si="6"/>
        <v>2</v>
      </c>
      <c r="AG39" s="4">
        <f t="shared" si="7"/>
        <v>0</v>
      </c>
      <c r="AH39" s="4">
        <f t="shared" si="8"/>
        <v>0</v>
      </c>
      <c r="AI39" s="10">
        <f t="shared" si="9"/>
        <v>0.89473684210526316</v>
      </c>
    </row>
  </sheetData>
  <mergeCells count="27">
    <mergeCell ref="AD11:AD39"/>
    <mergeCell ref="C7:Z7"/>
    <mergeCell ref="AA2:AE3"/>
    <mergeCell ref="AA4:AE5"/>
    <mergeCell ref="AL11:AS11"/>
    <mergeCell ref="AA6:AE7"/>
    <mergeCell ref="D12:F39"/>
    <mergeCell ref="G11:G39"/>
    <mergeCell ref="M11:M39"/>
    <mergeCell ref="S11:S39"/>
    <mergeCell ref="X11:X39"/>
    <mergeCell ref="C1:AE1"/>
    <mergeCell ref="A2:B7"/>
    <mergeCell ref="Y9:AI9"/>
    <mergeCell ref="AC10:AI10"/>
    <mergeCell ref="AF1:AI8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C2:Z6"/>
  </mergeCells>
  <conditionalFormatting sqref="D11:G11 M11 S11 X11 D12">
    <cfRule type="cellIs" dxfId="713" priority="1573" stopIfTrue="1" operator="equal">
      <formula>"T"</formula>
    </cfRule>
  </conditionalFormatting>
  <conditionalFormatting sqref="H12:H21 H24:H26 H28:H31 H33:H38">
    <cfRule type="cellIs" dxfId="712" priority="1567" stopIfTrue="1" operator="equal">
      <formula>"T"</formula>
    </cfRule>
    <cfRule type="cellIs" dxfId="711" priority="1569" operator="equal">
      <formula>"T"</formula>
    </cfRule>
    <cfRule type="cellIs" dxfId="710" priority="1568" operator="equal">
      <formula>"J"</formula>
    </cfRule>
  </conditionalFormatting>
  <conditionalFormatting sqref="H22:I22">
    <cfRule type="cellIs" dxfId="709" priority="1446" operator="equal">
      <formula>"J"</formula>
    </cfRule>
    <cfRule type="cellIs" dxfId="708" priority="1444" stopIfTrue="1" operator="equal">
      <formula>"T"</formula>
    </cfRule>
  </conditionalFormatting>
  <conditionalFormatting sqref="H27:I27">
    <cfRule type="cellIs" dxfId="707" priority="1412" operator="equal">
      <formula>"J"</formula>
    </cfRule>
    <cfRule type="cellIs" dxfId="706" priority="1411" stopIfTrue="1" operator="equal">
      <formula>"T"</formula>
    </cfRule>
  </conditionalFormatting>
  <conditionalFormatting sqref="H32:I32">
    <cfRule type="cellIs" dxfId="705" priority="1367" operator="equal">
      <formula>"J"</formula>
    </cfRule>
    <cfRule type="cellIs" dxfId="704" priority="1366" stopIfTrue="1" operator="equal">
      <formula>"T"</formula>
    </cfRule>
  </conditionalFormatting>
  <conditionalFormatting sqref="H39:I39">
    <cfRule type="cellIs" dxfId="703" priority="1310" operator="equal">
      <formula>"J"</formula>
    </cfRule>
    <cfRule type="cellIs" dxfId="702" priority="1309" stopIfTrue="1" operator="equal">
      <formula>"T"</formula>
    </cfRule>
  </conditionalFormatting>
  <conditionalFormatting sqref="H23:L23">
    <cfRule type="cellIs" dxfId="701" priority="1548" operator="equal">
      <formula>"J"</formula>
    </cfRule>
    <cfRule type="cellIs" dxfId="700" priority="1546" stopIfTrue="1" operator="equal">
      <formula>"T"</formula>
    </cfRule>
  </conditionalFormatting>
  <conditionalFormatting sqref="I12">
    <cfRule type="cellIs" dxfId="699" priority="1531" stopIfTrue="1" operator="equal">
      <formula>"T"</formula>
    </cfRule>
    <cfRule type="cellIs" dxfId="698" priority="1533" operator="equal">
      <formula>"T"</formula>
    </cfRule>
    <cfRule type="cellIs" dxfId="697" priority="1532" operator="equal">
      <formula>"J"</formula>
    </cfRule>
  </conditionalFormatting>
  <conditionalFormatting sqref="I13">
    <cfRule type="cellIs" dxfId="696" priority="1524" operator="equal">
      <formula>"T"</formula>
    </cfRule>
    <cfRule type="cellIs" dxfId="695" priority="1523" operator="equal">
      <formula>"J"</formula>
    </cfRule>
    <cfRule type="cellIs" dxfId="694" priority="1522" stopIfTrue="1" operator="equal">
      <formula>"T"</formula>
    </cfRule>
  </conditionalFormatting>
  <conditionalFormatting sqref="I14">
    <cfRule type="cellIs" dxfId="693" priority="1515" operator="equal">
      <formula>"T"</formula>
    </cfRule>
    <cfRule type="cellIs" dxfId="692" priority="1514" operator="equal">
      <formula>"J"</formula>
    </cfRule>
    <cfRule type="cellIs" dxfId="691" priority="1513" stopIfTrue="1" operator="equal">
      <formula>"T"</formula>
    </cfRule>
  </conditionalFormatting>
  <conditionalFormatting sqref="I15">
    <cfRule type="cellIs" dxfId="690" priority="1504" stopIfTrue="1" operator="equal">
      <formula>"T"</formula>
    </cfRule>
    <cfRule type="cellIs" dxfId="689" priority="1505" operator="equal">
      <formula>"J"</formula>
    </cfRule>
    <cfRule type="cellIs" dxfId="688" priority="1506" operator="equal">
      <formula>"T"</formula>
    </cfRule>
  </conditionalFormatting>
  <conditionalFormatting sqref="I16">
    <cfRule type="cellIs" dxfId="687" priority="1497" operator="equal">
      <formula>"T"</formula>
    </cfRule>
    <cfRule type="cellIs" dxfId="686" priority="1496" operator="equal">
      <formula>"J"</formula>
    </cfRule>
    <cfRule type="cellIs" dxfId="685" priority="1495" stopIfTrue="1" operator="equal">
      <formula>"T"</formula>
    </cfRule>
  </conditionalFormatting>
  <conditionalFormatting sqref="I17">
    <cfRule type="cellIs" dxfId="684" priority="1488" operator="equal">
      <formula>"T"</formula>
    </cfRule>
    <cfRule type="cellIs" dxfId="683" priority="1487" operator="equal">
      <formula>"J"</formula>
    </cfRule>
    <cfRule type="cellIs" dxfId="682" priority="1486" stopIfTrue="1" operator="equal">
      <formula>"T"</formula>
    </cfRule>
  </conditionalFormatting>
  <conditionalFormatting sqref="I18">
    <cfRule type="cellIs" dxfId="681" priority="1479" operator="equal">
      <formula>"T"</formula>
    </cfRule>
    <cfRule type="cellIs" dxfId="680" priority="1478" operator="equal">
      <formula>"J"</formula>
    </cfRule>
    <cfRule type="cellIs" dxfId="679" priority="1477" stopIfTrue="1" operator="equal">
      <formula>"T"</formula>
    </cfRule>
  </conditionalFormatting>
  <conditionalFormatting sqref="I19">
    <cfRule type="cellIs" dxfId="678" priority="1470" operator="equal">
      <formula>"T"</formula>
    </cfRule>
    <cfRule type="cellIs" dxfId="677" priority="1469" operator="equal">
      <formula>"J"</formula>
    </cfRule>
    <cfRule type="cellIs" dxfId="676" priority="1468" stopIfTrue="1" operator="equal">
      <formula>"T"</formula>
    </cfRule>
  </conditionalFormatting>
  <conditionalFormatting sqref="I20">
    <cfRule type="cellIs" dxfId="675" priority="1461" operator="equal">
      <formula>"T"</formula>
    </cfRule>
    <cfRule type="cellIs" dxfId="674" priority="1460" operator="equal">
      <formula>"J"</formula>
    </cfRule>
    <cfRule type="cellIs" dxfId="673" priority="1459" stopIfTrue="1" operator="equal">
      <formula>"T"</formula>
    </cfRule>
  </conditionalFormatting>
  <conditionalFormatting sqref="I21">
    <cfRule type="cellIs" dxfId="672" priority="1452" operator="equal">
      <formula>"T"</formula>
    </cfRule>
    <cfRule type="cellIs" dxfId="671" priority="1451" operator="equal">
      <formula>"J"</formula>
    </cfRule>
    <cfRule type="cellIs" dxfId="670" priority="1450" stopIfTrue="1" operator="equal">
      <formula>"T"</formula>
    </cfRule>
  </conditionalFormatting>
  <conditionalFormatting sqref="I24">
    <cfRule type="cellIs" dxfId="669" priority="1439" operator="equal">
      <formula>"J"</formula>
    </cfRule>
    <cfRule type="cellIs" dxfId="668" priority="1438" stopIfTrue="1" operator="equal">
      <formula>"T"</formula>
    </cfRule>
    <cfRule type="cellIs" dxfId="667" priority="1440" operator="equal">
      <formula>"T"</formula>
    </cfRule>
  </conditionalFormatting>
  <conditionalFormatting sqref="I25">
    <cfRule type="cellIs" dxfId="666" priority="1429" stopIfTrue="1" operator="equal">
      <formula>"T"</formula>
    </cfRule>
    <cfRule type="cellIs" dxfId="665" priority="1430" operator="equal">
      <formula>"J"</formula>
    </cfRule>
    <cfRule type="cellIs" dxfId="664" priority="1431" operator="equal">
      <formula>"T"</formula>
    </cfRule>
  </conditionalFormatting>
  <conditionalFormatting sqref="I26">
    <cfRule type="cellIs" dxfId="663" priority="1422" operator="equal">
      <formula>"T"</formula>
    </cfRule>
    <cfRule type="cellIs" dxfId="662" priority="1421" operator="equal">
      <formula>"J"</formula>
    </cfRule>
    <cfRule type="cellIs" dxfId="661" priority="1420" stopIfTrue="1" operator="equal">
      <formula>"T"</formula>
    </cfRule>
  </conditionalFormatting>
  <conditionalFormatting sqref="I27">
    <cfRule type="cellIs" dxfId="660" priority="1413" operator="equal">
      <formula>"T"</formula>
    </cfRule>
  </conditionalFormatting>
  <conditionalFormatting sqref="I28">
    <cfRule type="cellIs" dxfId="659" priority="1403" operator="equal">
      <formula>"J"</formula>
    </cfRule>
    <cfRule type="cellIs" dxfId="658" priority="1402" stopIfTrue="1" operator="equal">
      <formula>"T"</formula>
    </cfRule>
    <cfRule type="cellIs" dxfId="657" priority="1404" operator="equal">
      <formula>"T"</formula>
    </cfRule>
  </conditionalFormatting>
  <conditionalFormatting sqref="I29">
    <cfRule type="cellIs" dxfId="656" priority="1394" operator="equal">
      <formula>"J"</formula>
    </cfRule>
    <cfRule type="cellIs" dxfId="655" priority="1393" stopIfTrue="1" operator="equal">
      <formula>"T"</formula>
    </cfRule>
    <cfRule type="cellIs" dxfId="654" priority="1395" operator="equal">
      <formula>"T"</formula>
    </cfRule>
  </conditionalFormatting>
  <conditionalFormatting sqref="I30">
    <cfRule type="cellIs" dxfId="653" priority="1386" operator="equal">
      <formula>"T"</formula>
    </cfRule>
    <cfRule type="cellIs" dxfId="652" priority="1385" operator="equal">
      <formula>"J"</formula>
    </cfRule>
    <cfRule type="cellIs" dxfId="651" priority="1384" stopIfTrue="1" operator="equal">
      <formula>"T"</formula>
    </cfRule>
  </conditionalFormatting>
  <conditionalFormatting sqref="I31">
    <cfRule type="cellIs" dxfId="650" priority="1377" operator="equal">
      <formula>"T"</formula>
    </cfRule>
    <cfRule type="cellIs" dxfId="649" priority="1375" stopIfTrue="1" operator="equal">
      <formula>"T"</formula>
    </cfRule>
    <cfRule type="cellIs" dxfId="648" priority="1376" operator="equal">
      <formula>"J"</formula>
    </cfRule>
  </conditionalFormatting>
  <conditionalFormatting sqref="I32">
    <cfRule type="cellIs" dxfId="647" priority="1368" operator="equal">
      <formula>"T"</formula>
    </cfRule>
  </conditionalFormatting>
  <conditionalFormatting sqref="I33">
    <cfRule type="cellIs" dxfId="646" priority="1359" operator="equal">
      <formula>"T"</formula>
    </cfRule>
    <cfRule type="cellIs" dxfId="645" priority="1358" operator="equal">
      <formula>"J"</formula>
    </cfRule>
    <cfRule type="cellIs" dxfId="644" priority="1357" stopIfTrue="1" operator="equal">
      <formula>"T"</formula>
    </cfRule>
  </conditionalFormatting>
  <conditionalFormatting sqref="I34">
    <cfRule type="cellIs" dxfId="643" priority="1350" operator="equal">
      <formula>"T"</formula>
    </cfRule>
    <cfRule type="cellIs" dxfId="642" priority="1349" operator="equal">
      <formula>"J"</formula>
    </cfRule>
    <cfRule type="cellIs" dxfId="641" priority="1348" stopIfTrue="1" operator="equal">
      <formula>"T"</formula>
    </cfRule>
  </conditionalFormatting>
  <conditionalFormatting sqref="I35">
    <cfRule type="cellIs" dxfId="640" priority="1341" operator="equal">
      <formula>"T"</formula>
    </cfRule>
    <cfRule type="cellIs" dxfId="639" priority="1339" stopIfTrue="1" operator="equal">
      <formula>"T"</formula>
    </cfRule>
    <cfRule type="cellIs" dxfId="638" priority="1340" operator="equal">
      <formula>"J"</formula>
    </cfRule>
  </conditionalFormatting>
  <conditionalFormatting sqref="I36:I37">
    <cfRule type="cellIs" dxfId="637" priority="1327" stopIfTrue="1" operator="equal">
      <formula>"T"</formula>
    </cfRule>
    <cfRule type="cellIs" dxfId="636" priority="1328" operator="equal">
      <formula>"J"</formula>
    </cfRule>
  </conditionalFormatting>
  <conditionalFormatting sqref="I37">
    <cfRule type="cellIs" dxfId="635" priority="1329" operator="equal">
      <formula>"T"</formula>
    </cfRule>
  </conditionalFormatting>
  <conditionalFormatting sqref="I38">
    <cfRule type="cellIs" dxfId="634" priority="1319" operator="equal">
      <formula>"J"</formula>
    </cfRule>
    <cfRule type="cellIs" dxfId="633" priority="1320" operator="equal">
      <formula>"T"</formula>
    </cfRule>
    <cfRule type="cellIs" dxfId="632" priority="1318" stopIfTrue="1" operator="equal">
      <formula>"T"</formula>
    </cfRule>
  </conditionalFormatting>
  <conditionalFormatting sqref="I39">
    <cfRule type="cellIs" dxfId="631" priority="1311" operator="equal">
      <formula>"T"</formula>
    </cfRule>
  </conditionalFormatting>
  <conditionalFormatting sqref="J12 J14:J22">
    <cfRule type="cellIs" dxfId="630" priority="1302" operator="equal">
      <formula>"T"</formula>
    </cfRule>
    <cfRule type="cellIs" dxfId="629" priority="1301" operator="equal">
      <formula>"J"</formula>
    </cfRule>
    <cfRule type="cellIs" dxfId="628" priority="1300" stopIfTrue="1" operator="equal">
      <formula>"T"</formula>
    </cfRule>
  </conditionalFormatting>
  <conditionalFormatting sqref="J13">
    <cfRule type="cellIs" dxfId="627" priority="1296" operator="equal">
      <formula>"J"</formula>
    </cfRule>
    <cfRule type="cellIs" dxfId="626" priority="1294" stopIfTrue="1" operator="equal">
      <formula>"T"</formula>
    </cfRule>
  </conditionalFormatting>
  <conditionalFormatting sqref="J24:J39">
    <cfRule type="cellIs" dxfId="625" priority="1281" operator="equal">
      <formula>"T"</formula>
    </cfRule>
    <cfRule type="cellIs" dxfId="624" priority="1280" operator="equal">
      <formula>"J"</formula>
    </cfRule>
    <cfRule type="cellIs" dxfId="623" priority="1279" stopIfTrue="1" operator="equal">
      <formula>"T"</formula>
    </cfRule>
  </conditionalFormatting>
  <conditionalFormatting sqref="K12:K22">
    <cfRule type="cellIs" dxfId="622" priority="1272" operator="equal">
      <formula>"T"</formula>
    </cfRule>
    <cfRule type="cellIs" dxfId="621" priority="1271" operator="equal">
      <formula>"J"</formula>
    </cfRule>
    <cfRule type="cellIs" dxfId="620" priority="1270" stopIfTrue="1" operator="equal">
      <formula>"T"</formula>
    </cfRule>
  </conditionalFormatting>
  <conditionalFormatting sqref="K24:K35 K37:K39">
    <cfRule type="cellIs" dxfId="619" priority="1262" operator="equal">
      <formula>"J"</formula>
    </cfRule>
    <cfRule type="cellIs" dxfId="618" priority="1263" operator="equal">
      <formula>"T"</formula>
    </cfRule>
    <cfRule type="cellIs" dxfId="617" priority="1261" stopIfTrue="1" operator="equal">
      <formula>"T"</formula>
    </cfRule>
  </conditionalFormatting>
  <conditionalFormatting sqref="K36">
    <cfRule type="cellIs" dxfId="616" priority="1257" operator="equal">
      <formula>"J"</formula>
    </cfRule>
    <cfRule type="cellIs" dxfId="615" priority="1255" stopIfTrue="1" operator="equal">
      <formula>"T"</formula>
    </cfRule>
  </conditionalFormatting>
  <conditionalFormatting sqref="L12:L22">
    <cfRule type="cellIs" dxfId="614" priority="1250" operator="equal">
      <formula>"J"</formula>
    </cfRule>
    <cfRule type="cellIs" dxfId="613" priority="1249" stopIfTrue="1" operator="equal">
      <formula>"T"</formula>
    </cfRule>
    <cfRule type="cellIs" dxfId="612" priority="1251" operator="equal">
      <formula>"T"</formula>
    </cfRule>
  </conditionalFormatting>
  <conditionalFormatting sqref="L24:L39">
    <cfRule type="cellIs" dxfId="611" priority="1240" stopIfTrue="1" operator="equal">
      <formula>"T"</formula>
    </cfRule>
    <cfRule type="cellIs" dxfId="610" priority="1241" operator="equal">
      <formula>"J"</formula>
    </cfRule>
    <cfRule type="cellIs" dxfId="609" priority="1242" operator="equal">
      <formula>"T"</formula>
    </cfRule>
  </conditionalFormatting>
  <conditionalFormatting sqref="M11 S11 X11 T37 W37:W38 T38:V39 T12:W12 T14:W14 T16:W22 T24:W35 T36:U36 Y12:AC12 Y14:AC14 Y16:AC22 Y24:AC39 V37">
    <cfRule type="cellIs" dxfId="608" priority="1575" operator="equal">
      <formula>"T"</formula>
    </cfRule>
  </conditionalFormatting>
  <conditionalFormatting sqref="M11 S11 X11">
    <cfRule type="cellIs" dxfId="607" priority="1581" operator="equal">
      <formula>"J"</formula>
    </cfRule>
  </conditionalFormatting>
  <conditionalFormatting sqref="N24:N39">
    <cfRule type="cellIs" dxfId="606" priority="1224" operator="equal">
      <formula>"T"</formula>
    </cfRule>
    <cfRule type="cellIs" dxfId="605" priority="1223" operator="equal">
      <formula>"J"</formula>
    </cfRule>
    <cfRule type="cellIs" dxfId="604" priority="1222" stopIfTrue="1" operator="equal">
      <formula>"T"</formula>
    </cfRule>
  </conditionalFormatting>
  <conditionalFormatting sqref="N12:O20 N21 N22:O22">
    <cfRule type="cellIs" dxfId="603" priority="1232" operator="equal">
      <formula>"J"</formula>
    </cfRule>
    <cfRule type="cellIs" dxfId="602" priority="1231" stopIfTrue="1" operator="equal">
      <formula>"T"</formula>
    </cfRule>
    <cfRule type="cellIs" dxfId="601" priority="1233" operator="equal">
      <formula>"T"</formula>
    </cfRule>
  </conditionalFormatting>
  <conditionalFormatting sqref="N23:R23">
    <cfRule type="cellIs" dxfId="600" priority="1545" operator="equal">
      <formula>"J"</formula>
    </cfRule>
    <cfRule type="cellIs" dxfId="599" priority="1543" stopIfTrue="1" operator="equal">
      <formula>"T"</formula>
    </cfRule>
  </conditionalFormatting>
  <conditionalFormatting sqref="O24">
    <cfRule type="cellIs" dxfId="598" priority="1185" operator="equal">
      <formula>"J"</formula>
    </cfRule>
    <cfRule type="cellIs" dxfId="597" priority="1183" stopIfTrue="1" operator="equal">
      <formula>"T"</formula>
    </cfRule>
  </conditionalFormatting>
  <conditionalFormatting sqref="O25">
    <cfRule type="cellIs" dxfId="596" priority="1191" operator="equal">
      <formula>"T"</formula>
    </cfRule>
    <cfRule type="cellIs" dxfId="595" priority="1190" operator="equal">
      <formula>"J"</formula>
    </cfRule>
    <cfRule type="cellIs" dxfId="594" priority="1189" stopIfTrue="1" operator="equal">
      <formula>"T"</formula>
    </cfRule>
  </conditionalFormatting>
  <conditionalFormatting sqref="O26:O39">
    <cfRule type="cellIs" dxfId="593" priority="1200" operator="equal">
      <formula>"T"</formula>
    </cfRule>
    <cfRule type="cellIs" dxfId="592" priority="1199" operator="equal">
      <formula>"J"</formula>
    </cfRule>
    <cfRule type="cellIs" dxfId="591" priority="1198" stopIfTrue="1" operator="equal">
      <formula>"T"</formula>
    </cfRule>
  </conditionalFormatting>
  <conditionalFormatting sqref="P12:P13 P14:Q20 O21:P21 P22:Q22 R12 R14:R22">
    <cfRule type="cellIs" dxfId="590" priority="1177" stopIfTrue="1" operator="equal">
      <formula>"T"</formula>
    </cfRule>
  </conditionalFormatting>
  <conditionalFormatting sqref="P24:R39">
    <cfRule type="cellIs" dxfId="589" priority="1170" operator="equal">
      <formula>"T"</formula>
    </cfRule>
    <cfRule type="cellIs" dxfId="588" priority="1169" operator="equal">
      <formula>"J"</formula>
    </cfRule>
    <cfRule type="cellIs" dxfId="587" priority="1168" stopIfTrue="1" operator="equal">
      <formula>"T"</formula>
    </cfRule>
  </conditionalFormatting>
  <conditionalFormatting sqref="Q12:Q13">
    <cfRule type="cellIs" dxfId="586" priority="1153" stopIfTrue="1" operator="equal">
      <formula>"T"</formula>
    </cfRule>
    <cfRule type="cellIs" dxfId="585" priority="1155" operator="equal">
      <formula>"J"</formula>
    </cfRule>
  </conditionalFormatting>
  <conditionalFormatting sqref="Q21">
    <cfRule type="cellIs" dxfId="584" priority="1150" stopIfTrue="1" operator="equal">
      <formula>"T"</formula>
    </cfRule>
    <cfRule type="cellIs" dxfId="583" priority="1152" operator="equal">
      <formula>"J"</formula>
    </cfRule>
  </conditionalFormatting>
  <conditionalFormatting sqref="R12 P12:P13 P14:Q20 R14:R22 O21:P21 P22:Q22">
    <cfRule type="cellIs" dxfId="582" priority="1178" operator="equal">
      <formula>"J"</formula>
    </cfRule>
  </conditionalFormatting>
  <conditionalFormatting sqref="R12 P12:P13 P14:Q20 R14:R22 P21 P22:Q22">
    <cfRule type="cellIs" dxfId="581" priority="1179" operator="equal">
      <formula>"T"</formula>
    </cfRule>
  </conditionalFormatting>
  <conditionalFormatting sqref="R13">
    <cfRule type="cellIs" dxfId="580" priority="1023" operator="equal">
      <formula>"J"</formula>
    </cfRule>
    <cfRule type="cellIs" dxfId="579" priority="1022" stopIfTrue="1" operator="equal">
      <formula>"T"</formula>
    </cfRule>
  </conditionalFormatting>
  <conditionalFormatting sqref="R24:R39">
    <cfRule type="cellIs" dxfId="578" priority="1041" operator="equal">
      <formula>"T"</formula>
    </cfRule>
    <cfRule type="cellIs" dxfId="577" priority="1040" operator="equal">
      <formula>"J"</formula>
    </cfRule>
    <cfRule type="cellIs" dxfId="576" priority="1039" stopIfTrue="1" operator="equal">
      <formula>"T"</formula>
    </cfRule>
    <cfRule type="cellIs" dxfId="575" priority="1032" operator="equal">
      <formula>"T"</formula>
    </cfRule>
    <cfRule type="cellIs" dxfId="574" priority="1031" operator="equal">
      <formula>"J"</formula>
    </cfRule>
    <cfRule type="cellIs" dxfId="573" priority="1030" stopIfTrue="1" operator="equal">
      <formula>"T"</formula>
    </cfRule>
  </conditionalFormatting>
  <conditionalFormatting sqref="T14">
    <cfRule type="cellIs" dxfId="572" priority="998" stopIfTrue="1" operator="equal">
      <formula>"T"</formula>
    </cfRule>
    <cfRule type="cellIs" dxfId="571" priority="999" operator="equal">
      <formula>"J"</formula>
    </cfRule>
    <cfRule type="cellIs" dxfId="570" priority="1000" operator="equal">
      <formula>"T"</formula>
    </cfRule>
  </conditionalFormatting>
  <conditionalFormatting sqref="T16:T22">
    <cfRule type="cellIs" dxfId="569" priority="989" stopIfTrue="1" operator="equal">
      <formula>"T"</formula>
    </cfRule>
    <cfRule type="cellIs" dxfId="568" priority="991" operator="equal">
      <formula>"T"</formula>
    </cfRule>
    <cfRule type="cellIs" dxfId="567" priority="990" operator="equal">
      <formula>"J"</formula>
    </cfRule>
  </conditionalFormatting>
  <conditionalFormatting sqref="T24:T39">
    <cfRule type="cellIs" dxfId="566" priority="981" operator="equal">
      <formula>"J"</formula>
    </cfRule>
    <cfRule type="cellIs" dxfId="565" priority="982" operator="equal">
      <formula>"T"</formula>
    </cfRule>
    <cfRule type="cellIs" dxfId="564" priority="980" stopIfTrue="1" operator="equal">
      <formula>"T"</formula>
    </cfRule>
  </conditionalFormatting>
  <conditionalFormatting sqref="T37 T38:V39 W37:W38">
    <cfRule type="cellIs" dxfId="563" priority="1540" stopIfTrue="1" operator="equal">
      <formula>"T"</formula>
    </cfRule>
  </conditionalFormatting>
  <conditionalFormatting sqref="T37 W37:W38 T38:V39">
    <cfRule type="cellIs" dxfId="562" priority="1542" operator="equal">
      <formula>"J"</formula>
    </cfRule>
  </conditionalFormatting>
  <conditionalFormatting sqref="T12:V12">
    <cfRule type="cellIs" dxfId="561" priority="1009" operator="equal">
      <formula>"T"</formula>
    </cfRule>
    <cfRule type="cellIs" dxfId="560" priority="1007" stopIfTrue="1" operator="equal">
      <formula>"T"</formula>
    </cfRule>
    <cfRule type="cellIs" dxfId="559" priority="1008" operator="equal">
      <formula>"J"</formula>
    </cfRule>
  </conditionalFormatting>
  <conditionalFormatting sqref="T12:W35 T36:U36">
    <cfRule type="cellIs" dxfId="558" priority="1015" operator="equal">
      <formula>"J"</formula>
    </cfRule>
    <cfRule type="cellIs" dxfId="557" priority="1013" stopIfTrue="1" operator="equal">
      <formula>"T"</formula>
    </cfRule>
  </conditionalFormatting>
  <conditionalFormatting sqref="U14">
    <cfRule type="cellIs" dxfId="556" priority="973" operator="equal">
      <formula>"T"</formula>
    </cfRule>
    <cfRule type="cellIs" dxfId="555" priority="972" operator="equal">
      <formula>"J"</formula>
    </cfRule>
    <cfRule type="cellIs" dxfId="554" priority="971" stopIfTrue="1" operator="equal">
      <formula>"T"</formula>
    </cfRule>
  </conditionalFormatting>
  <conditionalFormatting sqref="U16:U22">
    <cfRule type="cellIs" dxfId="553" priority="964" operator="equal">
      <formula>"T"</formula>
    </cfRule>
    <cfRule type="cellIs" dxfId="552" priority="963" operator="equal">
      <formula>"J"</formula>
    </cfRule>
    <cfRule type="cellIs" dxfId="551" priority="962" stopIfTrue="1" operator="equal">
      <formula>"T"</formula>
    </cfRule>
  </conditionalFormatting>
  <conditionalFormatting sqref="U24:U36 U38:U39">
    <cfRule type="cellIs" dxfId="550" priority="955" operator="equal">
      <formula>"T"</formula>
    </cfRule>
    <cfRule type="cellIs" dxfId="549" priority="954" operator="equal">
      <formula>"J"</formula>
    </cfRule>
    <cfRule type="cellIs" dxfId="548" priority="953" stopIfTrue="1" operator="equal">
      <formula>"T"</formula>
    </cfRule>
  </conditionalFormatting>
  <conditionalFormatting sqref="U37:V37">
    <cfRule type="cellIs" dxfId="547" priority="946" operator="equal">
      <formula>"J"</formula>
    </cfRule>
    <cfRule type="cellIs" dxfId="546" priority="944" stopIfTrue="1" operator="equal">
      <formula>"T"</formula>
    </cfRule>
  </conditionalFormatting>
  <conditionalFormatting sqref="V14">
    <cfRule type="cellIs" dxfId="545" priority="943" operator="equal">
      <formula>"T"</formula>
    </cfRule>
    <cfRule type="cellIs" dxfId="544" priority="942" operator="equal">
      <formula>"J"</formula>
    </cfRule>
    <cfRule type="cellIs" dxfId="543" priority="941" stopIfTrue="1" operator="equal">
      <formula>"T"</formula>
    </cfRule>
  </conditionalFormatting>
  <conditionalFormatting sqref="V16">
    <cfRule type="cellIs" dxfId="542" priority="932" stopIfTrue="1" operator="equal">
      <formula>"T"</formula>
    </cfRule>
    <cfRule type="cellIs" dxfId="541" priority="933" operator="equal">
      <formula>"J"</formula>
    </cfRule>
    <cfRule type="cellIs" dxfId="540" priority="934" operator="equal">
      <formula>"T"</formula>
    </cfRule>
  </conditionalFormatting>
  <conditionalFormatting sqref="V18">
    <cfRule type="cellIs" dxfId="539" priority="922" stopIfTrue="1" operator="equal">
      <formula>"T"</formula>
    </cfRule>
    <cfRule type="cellIs" dxfId="538" priority="924" operator="equal">
      <formula>"T"</formula>
    </cfRule>
    <cfRule type="cellIs" dxfId="537" priority="923" operator="equal">
      <formula>"J"</formula>
    </cfRule>
  </conditionalFormatting>
  <conditionalFormatting sqref="V19">
    <cfRule type="cellIs" dxfId="536" priority="914" operator="equal">
      <formula>"J"</formula>
    </cfRule>
    <cfRule type="cellIs" dxfId="535" priority="915" operator="equal">
      <formula>"T"</formula>
    </cfRule>
    <cfRule type="cellIs" dxfId="534" priority="913" stopIfTrue="1" operator="equal">
      <formula>"T"</formula>
    </cfRule>
  </conditionalFormatting>
  <conditionalFormatting sqref="V20">
    <cfRule type="cellIs" dxfId="533" priority="906" operator="equal">
      <formula>"T"</formula>
    </cfRule>
    <cfRule type="cellIs" dxfId="532" priority="905" operator="equal">
      <formula>"J"</formula>
    </cfRule>
    <cfRule type="cellIs" dxfId="531" priority="904" stopIfTrue="1" operator="equal">
      <formula>"T"</formula>
    </cfRule>
  </conditionalFormatting>
  <conditionalFormatting sqref="V21">
    <cfRule type="cellIs" dxfId="530" priority="896" operator="equal">
      <formula>"J"</formula>
    </cfRule>
    <cfRule type="cellIs" dxfId="529" priority="895" stopIfTrue="1" operator="equal">
      <formula>"T"</formula>
    </cfRule>
    <cfRule type="cellIs" dxfId="528" priority="897" operator="equal">
      <formula>"T"</formula>
    </cfRule>
  </conditionalFormatting>
  <conditionalFormatting sqref="V25">
    <cfRule type="cellIs" dxfId="527" priority="877" operator="equal">
      <formula>"J"</formula>
    </cfRule>
    <cfRule type="cellIs" dxfId="526" priority="876" stopIfTrue="1" operator="equal">
      <formula>"T"</formula>
    </cfRule>
    <cfRule type="cellIs" dxfId="525" priority="878" operator="equal">
      <formula>"T"</formula>
    </cfRule>
  </conditionalFormatting>
  <conditionalFormatting sqref="V26">
    <cfRule type="cellIs" dxfId="524" priority="869" operator="equal">
      <formula>"T"</formula>
    </cfRule>
    <cfRule type="cellIs" dxfId="523" priority="868" operator="equal">
      <formula>"J"</formula>
    </cfRule>
    <cfRule type="cellIs" dxfId="522" priority="867" stopIfTrue="1" operator="equal">
      <formula>"T"</formula>
    </cfRule>
  </conditionalFormatting>
  <conditionalFormatting sqref="V27">
    <cfRule type="cellIs" dxfId="521" priority="860" operator="equal">
      <formula>"T"</formula>
    </cfRule>
    <cfRule type="cellIs" dxfId="520" priority="859" operator="equal">
      <formula>"J"</formula>
    </cfRule>
    <cfRule type="cellIs" dxfId="519" priority="858" stopIfTrue="1" operator="equal">
      <formula>"T"</formula>
    </cfRule>
  </conditionalFormatting>
  <conditionalFormatting sqref="V28">
    <cfRule type="cellIs" dxfId="518" priority="851" operator="equal">
      <formula>"T"</formula>
    </cfRule>
    <cfRule type="cellIs" dxfId="517" priority="850" operator="equal">
      <formula>"J"</formula>
    </cfRule>
    <cfRule type="cellIs" dxfId="516" priority="849" stopIfTrue="1" operator="equal">
      <formula>"T"</formula>
    </cfRule>
  </conditionalFormatting>
  <conditionalFormatting sqref="V29">
    <cfRule type="cellIs" dxfId="515" priority="841" operator="equal">
      <formula>"J"</formula>
    </cfRule>
    <cfRule type="cellIs" dxfId="514" priority="840" stopIfTrue="1" operator="equal">
      <formula>"T"</formula>
    </cfRule>
    <cfRule type="cellIs" dxfId="513" priority="842" operator="equal">
      <formula>"T"</formula>
    </cfRule>
  </conditionalFormatting>
  <conditionalFormatting sqref="V30:V35 V37:V39">
    <cfRule type="cellIs" dxfId="512" priority="833" operator="equal">
      <formula>"T"</formula>
    </cfRule>
    <cfRule type="cellIs" dxfId="511" priority="832" operator="equal">
      <formula>"J"</formula>
    </cfRule>
    <cfRule type="cellIs" dxfId="510" priority="831" stopIfTrue="1" operator="equal">
      <formula>"T"</formula>
    </cfRule>
  </conditionalFormatting>
  <conditionalFormatting sqref="V22:W22">
    <cfRule type="cellIs" dxfId="509" priority="888" operator="equal">
      <formula>"T"</formula>
    </cfRule>
    <cfRule type="cellIs" dxfId="508" priority="886" stopIfTrue="1" operator="equal">
      <formula>"T"</formula>
    </cfRule>
    <cfRule type="cellIs" dxfId="507" priority="887" operator="equal">
      <formula>"J"</formula>
    </cfRule>
  </conditionalFormatting>
  <conditionalFormatting sqref="V36:W36">
    <cfRule type="cellIs" dxfId="506" priority="794" operator="equal">
      <formula>"J"</formula>
    </cfRule>
    <cfRule type="cellIs" dxfId="505" priority="792" stopIfTrue="1" operator="equal">
      <formula>"T"</formula>
    </cfRule>
  </conditionalFormatting>
  <conditionalFormatting sqref="V37:W39">
    <cfRule type="cellIs" dxfId="504" priority="818" operator="equal">
      <formula>"J"</formula>
    </cfRule>
    <cfRule type="cellIs" dxfId="503" priority="816" stopIfTrue="1" operator="equal">
      <formula>"T"</formula>
    </cfRule>
  </conditionalFormatting>
  <conditionalFormatting sqref="W12">
    <cfRule type="cellIs" dxfId="502" priority="727" operator="equal">
      <formula>"J"</formula>
    </cfRule>
    <cfRule type="cellIs" dxfId="501" priority="728" operator="equal">
      <formula>"T"</formula>
    </cfRule>
    <cfRule type="cellIs" dxfId="500" priority="726" stopIfTrue="1" operator="equal">
      <formula>"T"</formula>
    </cfRule>
  </conditionalFormatting>
  <conditionalFormatting sqref="W14">
    <cfRule type="cellIs" dxfId="499" priority="735" stopIfTrue="1" operator="equal">
      <formula>"T"</formula>
    </cfRule>
    <cfRule type="cellIs" dxfId="498" priority="736" operator="equal">
      <formula>"J"</formula>
    </cfRule>
    <cfRule type="cellIs" dxfId="497" priority="737" operator="equal">
      <formula>"T"</formula>
    </cfRule>
  </conditionalFormatting>
  <conditionalFormatting sqref="W16">
    <cfRule type="cellIs" dxfId="496" priority="746" operator="equal">
      <formula>"T"</formula>
    </cfRule>
    <cfRule type="cellIs" dxfId="495" priority="744" stopIfTrue="1" operator="equal">
      <formula>"T"</formula>
    </cfRule>
    <cfRule type="cellIs" dxfId="494" priority="745" operator="equal">
      <formula>"J"</formula>
    </cfRule>
  </conditionalFormatting>
  <conditionalFormatting sqref="W17">
    <cfRule type="cellIs" dxfId="493" priority="755" operator="equal">
      <formula>"T"</formula>
    </cfRule>
    <cfRule type="cellIs" dxfId="492" priority="754" operator="equal">
      <formula>"J"</formula>
    </cfRule>
    <cfRule type="cellIs" dxfId="491" priority="753" stopIfTrue="1" operator="equal">
      <formula>"T"</formula>
    </cfRule>
  </conditionalFormatting>
  <conditionalFormatting sqref="W18">
    <cfRule type="cellIs" dxfId="490" priority="762" stopIfTrue="1" operator="equal">
      <formula>"T"</formula>
    </cfRule>
    <cfRule type="cellIs" dxfId="489" priority="763" operator="equal">
      <formula>"J"</formula>
    </cfRule>
    <cfRule type="cellIs" dxfId="488" priority="764" operator="equal">
      <formula>"T"</formula>
    </cfRule>
  </conditionalFormatting>
  <conditionalFormatting sqref="W19">
    <cfRule type="cellIs" dxfId="487" priority="771" stopIfTrue="1" operator="equal">
      <formula>"T"</formula>
    </cfRule>
    <cfRule type="cellIs" dxfId="486" priority="772" operator="equal">
      <formula>"J"</formula>
    </cfRule>
    <cfRule type="cellIs" dxfId="485" priority="773" operator="equal">
      <formula>"T"</formula>
    </cfRule>
  </conditionalFormatting>
  <conditionalFormatting sqref="W20">
    <cfRule type="cellIs" dxfId="484" priority="782" operator="equal">
      <formula>"T"</formula>
    </cfRule>
    <cfRule type="cellIs" dxfId="483" priority="780" stopIfTrue="1" operator="equal">
      <formula>"T"</formula>
    </cfRule>
    <cfRule type="cellIs" dxfId="482" priority="781" operator="equal">
      <formula>"J"</formula>
    </cfRule>
  </conditionalFormatting>
  <conditionalFormatting sqref="W21">
    <cfRule type="cellIs" dxfId="481" priority="789" stopIfTrue="1" operator="equal">
      <formula>"T"</formula>
    </cfRule>
    <cfRule type="cellIs" dxfId="480" priority="790" operator="equal">
      <formula>"J"</formula>
    </cfRule>
    <cfRule type="cellIs" dxfId="479" priority="791" operator="equal">
      <formula>"T"</formula>
    </cfRule>
  </conditionalFormatting>
  <conditionalFormatting sqref="W24:W35 W37:W38">
    <cfRule type="cellIs" dxfId="478" priority="804" stopIfTrue="1" operator="equal">
      <formula>"T"</formula>
    </cfRule>
    <cfRule type="cellIs" dxfId="477" priority="805" operator="equal">
      <formula>"J"</formula>
    </cfRule>
    <cfRule type="cellIs" dxfId="476" priority="806" operator="equal">
      <formula>"T"</formula>
    </cfRule>
  </conditionalFormatting>
  <conditionalFormatting sqref="W24:W35">
    <cfRule type="cellIs" dxfId="475" priority="821" stopIfTrue="1" operator="equal">
      <formula>"T"</formula>
    </cfRule>
    <cfRule type="cellIs" dxfId="474" priority="822" operator="equal">
      <formula>"J"</formula>
    </cfRule>
  </conditionalFormatting>
  <conditionalFormatting sqref="Y14">
    <cfRule type="cellIs" dxfId="473" priority="718" operator="equal">
      <formula>"J"</formula>
    </cfRule>
    <cfRule type="cellIs" dxfId="472" priority="717" stopIfTrue="1" operator="equal">
      <formula>"T"</formula>
    </cfRule>
    <cfRule type="cellIs" dxfId="471" priority="716" operator="equal">
      <formula>"T"</formula>
    </cfRule>
    <cfRule type="cellIs" dxfId="470" priority="715" operator="equal">
      <formula>"J"</formula>
    </cfRule>
    <cfRule type="cellIs" dxfId="469" priority="714" stopIfTrue="1" operator="equal">
      <formula>"T"</formula>
    </cfRule>
  </conditionalFormatting>
  <conditionalFormatting sqref="Y16">
    <cfRule type="cellIs" dxfId="468" priority="705" operator="equal">
      <formula>"T"</formula>
    </cfRule>
    <cfRule type="cellIs" dxfId="467" priority="704" operator="equal">
      <formula>"J"</formula>
    </cfRule>
    <cfRule type="cellIs" dxfId="466" priority="703" stopIfTrue="1" operator="equal">
      <formula>"T"</formula>
    </cfRule>
    <cfRule type="cellIs" dxfId="465" priority="707" operator="equal">
      <formula>"J"</formula>
    </cfRule>
    <cfRule type="cellIs" dxfId="464" priority="706" stopIfTrue="1" operator="equal">
      <formula>"T"</formula>
    </cfRule>
  </conditionalFormatting>
  <conditionalFormatting sqref="Y17">
    <cfRule type="cellIs" dxfId="463" priority="693" operator="equal">
      <formula>"J"</formula>
    </cfRule>
    <cfRule type="cellIs" dxfId="462" priority="692" stopIfTrue="1" operator="equal">
      <formula>"T"</formula>
    </cfRule>
    <cfRule type="cellIs" dxfId="461" priority="696" operator="equal">
      <formula>"J"</formula>
    </cfRule>
    <cfRule type="cellIs" dxfId="460" priority="695" stopIfTrue="1" operator="equal">
      <formula>"T"</formula>
    </cfRule>
    <cfRule type="cellIs" dxfId="459" priority="694" operator="equal">
      <formula>"T"</formula>
    </cfRule>
  </conditionalFormatting>
  <conditionalFormatting sqref="Y18:Y22">
    <cfRule type="cellIs" dxfId="458" priority="682" operator="equal">
      <formula>"J"</formula>
    </cfRule>
    <cfRule type="cellIs" dxfId="457" priority="681" stopIfTrue="1" operator="equal">
      <formula>"T"</formula>
    </cfRule>
    <cfRule type="cellIs" dxfId="456" priority="685" operator="equal">
      <formula>"J"</formula>
    </cfRule>
    <cfRule type="cellIs" dxfId="455" priority="684" stopIfTrue="1" operator="equal">
      <formula>"T"</formula>
    </cfRule>
    <cfRule type="cellIs" dxfId="454" priority="683" operator="equal">
      <formula>"T"</formula>
    </cfRule>
  </conditionalFormatting>
  <conditionalFormatting sqref="Y24">
    <cfRule type="cellIs" dxfId="453" priority="671" operator="equal">
      <formula>"T"</formula>
    </cfRule>
    <cfRule type="cellIs" dxfId="452" priority="673" operator="equal">
      <formula>"J"</formula>
    </cfRule>
    <cfRule type="cellIs" dxfId="451" priority="672" stopIfTrue="1" operator="equal">
      <formula>"T"</formula>
    </cfRule>
    <cfRule type="cellIs" dxfId="450" priority="670" operator="equal">
      <formula>"J"</formula>
    </cfRule>
    <cfRule type="cellIs" dxfId="449" priority="669" stopIfTrue="1" operator="equal">
      <formula>"T"</formula>
    </cfRule>
  </conditionalFormatting>
  <conditionalFormatting sqref="Y25">
    <cfRule type="cellIs" dxfId="448" priority="660" operator="equal">
      <formula>"T"</formula>
    </cfRule>
    <cfRule type="cellIs" dxfId="447" priority="659" operator="equal">
      <formula>"J"</formula>
    </cfRule>
    <cfRule type="cellIs" dxfId="446" priority="658" stopIfTrue="1" operator="equal">
      <formula>"T"</formula>
    </cfRule>
    <cfRule type="cellIs" dxfId="445" priority="662" operator="equal">
      <formula>"J"</formula>
    </cfRule>
    <cfRule type="cellIs" dxfId="444" priority="661" stopIfTrue="1" operator="equal">
      <formula>"T"</formula>
    </cfRule>
  </conditionalFormatting>
  <conditionalFormatting sqref="Y26">
    <cfRule type="cellIs" dxfId="443" priority="649" operator="equal">
      <formula>"T"</formula>
    </cfRule>
    <cfRule type="cellIs" dxfId="442" priority="648" operator="equal">
      <formula>"J"</formula>
    </cfRule>
    <cfRule type="cellIs" dxfId="441" priority="647" stopIfTrue="1" operator="equal">
      <formula>"T"</formula>
    </cfRule>
    <cfRule type="cellIs" dxfId="440" priority="651" operator="equal">
      <formula>"J"</formula>
    </cfRule>
    <cfRule type="cellIs" dxfId="439" priority="650" stopIfTrue="1" operator="equal">
      <formula>"T"</formula>
    </cfRule>
  </conditionalFormatting>
  <conditionalFormatting sqref="Y27">
    <cfRule type="cellIs" dxfId="438" priority="639" stopIfTrue="1" operator="equal">
      <formula>"T"</formula>
    </cfRule>
    <cfRule type="cellIs" dxfId="437" priority="640" operator="equal">
      <formula>"J"</formula>
    </cfRule>
    <cfRule type="cellIs" dxfId="436" priority="638" operator="equal">
      <formula>"T"</formula>
    </cfRule>
    <cfRule type="cellIs" dxfId="435" priority="637" operator="equal">
      <formula>"J"</formula>
    </cfRule>
    <cfRule type="cellIs" dxfId="434" priority="636" stopIfTrue="1" operator="equal">
      <formula>"T"</formula>
    </cfRule>
  </conditionalFormatting>
  <conditionalFormatting sqref="Y28">
    <cfRule type="cellIs" dxfId="433" priority="627" operator="equal">
      <formula>"T"</formula>
    </cfRule>
    <cfRule type="cellIs" dxfId="432" priority="625" stopIfTrue="1" operator="equal">
      <formula>"T"</formula>
    </cfRule>
    <cfRule type="cellIs" dxfId="431" priority="626" operator="equal">
      <formula>"J"</formula>
    </cfRule>
    <cfRule type="cellIs" dxfId="430" priority="629" operator="equal">
      <formula>"J"</formula>
    </cfRule>
    <cfRule type="cellIs" dxfId="429" priority="628" stopIfTrue="1" operator="equal">
      <formula>"T"</formula>
    </cfRule>
  </conditionalFormatting>
  <conditionalFormatting sqref="Y29">
    <cfRule type="cellIs" dxfId="428" priority="617" operator="equal">
      <formula>"J"</formula>
    </cfRule>
    <cfRule type="cellIs" dxfId="427" priority="616" stopIfTrue="1" operator="equal">
      <formula>"T"</formula>
    </cfRule>
    <cfRule type="cellIs" dxfId="426" priority="615" operator="equal">
      <formula>"T"</formula>
    </cfRule>
    <cfRule type="cellIs" dxfId="425" priority="614" operator="equal">
      <formula>"J"</formula>
    </cfRule>
    <cfRule type="cellIs" dxfId="424" priority="613" stopIfTrue="1" operator="equal">
      <formula>"T"</formula>
    </cfRule>
  </conditionalFormatting>
  <conditionalFormatting sqref="Y30">
    <cfRule type="cellIs" dxfId="423" priority="602" stopIfTrue="1" operator="equal">
      <formula>"T"</formula>
    </cfRule>
    <cfRule type="cellIs" dxfId="422" priority="603" operator="equal">
      <formula>"J"</formula>
    </cfRule>
    <cfRule type="cellIs" dxfId="421" priority="604" operator="equal">
      <formula>"T"</formula>
    </cfRule>
    <cfRule type="cellIs" dxfId="420" priority="606" operator="equal">
      <formula>"J"</formula>
    </cfRule>
    <cfRule type="cellIs" dxfId="419" priority="605" stopIfTrue="1" operator="equal">
      <formula>"T"</formula>
    </cfRule>
  </conditionalFormatting>
  <conditionalFormatting sqref="Y31">
    <cfRule type="cellIs" dxfId="418" priority="593" operator="equal">
      <formula>"T"</formula>
    </cfRule>
    <cfRule type="cellIs" dxfId="417" priority="592" operator="equal">
      <formula>"J"</formula>
    </cfRule>
    <cfRule type="cellIs" dxfId="416" priority="591" stopIfTrue="1" operator="equal">
      <formula>"T"</formula>
    </cfRule>
    <cfRule type="cellIs" dxfId="415" priority="595" operator="equal">
      <formula>"J"</formula>
    </cfRule>
    <cfRule type="cellIs" dxfId="414" priority="594" stopIfTrue="1" operator="equal">
      <formula>"T"</formula>
    </cfRule>
  </conditionalFormatting>
  <conditionalFormatting sqref="Y32">
    <cfRule type="cellIs" dxfId="413" priority="584" operator="equal">
      <formula>"J"</formula>
    </cfRule>
    <cfRule type="cellIs" dxfId="412" priority="583" stopIfTrue="1" operator="equal">
      <formula>"T"</formula>
    </cfRule>
    <cfRule type="cellIs" dxfId="411" priority="582" operator="equal">
      <formula>"T"</formula>
    </cfRule>
    <cfRule type="cellIs" dxfId="410" priority="581" operator="equal">
      <formula>"J"</formula>
    </cfRule>
    <cfRule type="cellIs" dxfId="409" priority="580" stopIfTrue="1" operator="equal">
      <formula>"T"</formula>
    </cfRule>
  </conditionalFormatting>
  <conditionalFormatting sqref="Y33">
    <cfRule type="cellIs" dxfId="408" priority="572" stopIfTrue="1" operator="equal">
      <formula>"T"</formula>
    </cfRule>
    <cfRule type="cellIs" dxfId="407" priority="570" operator="equal">
      <formula>"J"</formula>
    </cfRule>
    <cfRule type="cellIs" dxfId="406" priority="569" stopIfTrue="1" operator="equal">
      <formula>"T"</formula>
    </cfRule>
    <cfRule type="cellIs" dxfId="405" priority="571" operator="equal">
      <formula>"T"</formula>
    </cfRule>
    <cfRule type="cellIs" dxfId="404" priority="573" operator="equal">
      <formula>"J"</formula>
    </cfRule>
  </conditionalFormatting>
  <conditionalFormatting sqref="Y34">
    <cfRule type="cellIs" dxfId="403" priority="560" operator="equal">
      <formula>"T"</formula>
    </cfRule>
    <cfRule type="cellIs" dxfId="402" priority="559" operator="equal">
      <formula>"J"</formula>
    </cfRule>
    <cfRule type="cellIs" dxfId="401" priority="558" stopIfTrue="1" operator="equal">
      <formula>"T"</formula>
    </cfRule>
    <cfRule type="cellIs" dxfId="400" priority="562" operator="equal">
      <formula>"J"</formula>
    </cfRule>
    <cfRule type="cellIs" dxfId="399" priority="561" stopIfTrue="1" operator="equal">
      <formula>"T"</formula>
    </cfRule>
  </conditionalFormatting>
  <conditionalFormatting sqref="Y35">
    <cfRule type="cellIs" dxfId="398" priority="550" stopIfTrue="1" operator="equal">
      <formula>"T"</formula>
    </cfRule>
    <cfRule type="cellIs" dxfId="397" priority="551" operator="equal">
      <formula>"J"</formula>
    </cfRule>
    <cfRule type="cellIs" dxfId="396" priority="549" operator="equal">
      <formula>"T"</formula>
    </cfRule>
    <cfRule type="cellIs" dxfId="395" priority="548" operator="equal">
      <formula>"J"</formula>
    </cfRule>
    <cfRule type="cellIs" dxfId="394" priority="547" stopIfTrue="1" operator="equal">
      <formula>"T"</formula>
    </cfRule>
  </conditionalFormatting>
  <conditionalFormatting sqref="Y36">
    <cfRule type="cellIs" dxfId="393" priority="539" stopIfTrue="1" operator="equal">
      <formula>"T"</formula>
    </cfRule>
    <cfRule type="cellIs" dxfId="392" priority="538" operator="equal">
      <formula>"T"</formula>
    </cfRule>
    <cfRule type="cellIs" dxfId="391" priority="536" stopIfTrue="1" operator="equal">
      <formula>"T"</formula>
    </cfRule>
    <cfRule type="cellIs" dxfId="390" priority="537" operator="equal">
      <formula>"J"</formula>
    </cfRule>
    <cfRule type="cellIs" dxfId="389" priority="540" operator="equal">
      <formula>"J"</formula>
    </cfRule>
  </conditionalFormatting>
  <conditionalFormatting sqref="Y37">
    <cfRule type="cellIs" dxfId="388" priority="526" operator="equal">
      <formula>"J"</formula>
    </cfRule>
    <cfRule type="cellIs" dxfId="387" priority="529" operator="equal">
      <formula>"J"</formula>
    </cfRule>
    <cfRule type="cellIs" dxfId="386" priority="528" stopIfTrue="1" operator="equal">
      <formula>"T"</formula>
    </cfRule>
    <cfRule type="cellIs" dxfId="385" priority="527" operator="equal">
      <formula>"T"</formula>
    </cfRule>
    <cfRule type="cellIs" dxfId="384" priority="525" stopIfTrue="1" operator="equal">
      <formula>"T"</formula>
    </cfRule>
  </conditionalFormatting>
  <conditionalFormatting sqref="Y38">
    <cfRule type="cellIs" dxfId="383" priority="515" operator="equal">
      <formula>"J"</formula>
    </cfRule>
    <cfRule type="cellIs" dxfId="382" priority="514" stopIfTrue="1" operator="equal">
      <formula>"T"</formula>
    </cfRule>
    <cfRule type="cellIs" dxfId="381" priority="516" operator="equal">
      <formula>"T"</formula>
    </cfRule>
    <cfRule type="cellIs" dxfId="380" priority="517" stopIfTrue="1" operator="equal">
      <formula>"T"</formula>
    </cfRule>
    <cfRule type="cellIs" dxfId="379" priority="518" operator="equal">
      <formula>"J"</formula>
    </cfRule>
  </conditionalFormatting>
  <conditionalFormatting sqref="Y39">
    <cfRule type="cellIs" dxfId="378" priority="496" operator="equal">
      <formula>"J"</formula>
    </cfRule>
    <cfRule type="cellIs" dxfId="377" priority="495" stopIfTrue="1" operator="equal">
      <formula>"T"</formula>
    </cfRule>
    <cfRule type="cellIs" dxfId="376" priority="494" operator="equal">
      <formula>"T"</formula>
    </cfRule>
    <cfRule type="cellIs" dxfId="375" priority="493" operator="equal">
      <formula>"J"</formula>
    </cfRule>
    <cfRule type="cellIs" dxfId="374" priority="492" stopIfTrue="1" operator="equal">
      <formula>"T"</formula>
    </cfRule>
    <cfRule type="cellIs" dxfId="373" priority="507" operator="equal">
      <formula>"J"</formula>
    </cfRule>
    <cfRule type="cellIs" dxfId="372" priority="506" stopIfTrue="1" operator="equal">
      <formula>"T"</formula>
    </cfRule>
    <cfRule type="cellIs" dxfId="371" priority="505" operator="equal">
      <formula>"T"</formula>
    </cfRule>
    <cfRule type="cellIs" dxfId="370" priority="504" operator="equal">
      <formula>"J"</formula>
    </cfRule>
    <cfRule type="cellIs" dxfId="369" priority="503" stopIfTrue="1" operator="equal">
      <formula>"T"</formula>
    </cfRule>
  </conditionalFormatting>
  <conditionalFormatting sqref="Y12:AC39">
    <cfRule type="cellIs" dxfId="368" priority="1012" operator="equal">
      <formula>"J"</formula>
    </cfRule>
    <cfRule type="cellIs" dxfId="367" priority="1010" stopIfTrue="1" operator="equal">
      <formula>"T"</formula>
    </cfRule>
  </conditionalFormatting>
  <conditionalFormatting sqref="Z12">
    <cfRule type="cellIs" dxfId="366" priority="483" operator="equal">
      <formula>"T"</formula>
    </cfRule>
    <cfRule type="cellIs" dxfId="365" priority="482" operator="equal">
      <formula>"J"</formula>
    </cfRule>
    <cfRule type="cellIs" dxfId="364" priority="481" stopIfTrue="1" operator="equal">
      <formula>"T"</formula>
    </cfRule>
    <cfRule type="cellIs" dxfId="363" priority="485" operator="equal">
      <formula>"J"</formula>
    </cfRule>
    <cfRule type="cellIs" dxfId="362" priority="484" stopIfTrue="1" operator="equal">
      <formula>"T"</formula>
    </cfRule>
  </conditionalFormatting>
  <conditionalFormatting sqref="Z14">
    <cfRule type="cellIs" dxfId="361" priority="441" operator="equal">
      <formula>"J"</formula>
    </cfRule>
    <cfRule type="cellIs" dxfId="360" priority="437" stopIfTrue="1" operator="equal">
      <formula>"T"</formula>
    </cfRule>
    <cfRule type="cellIs" dxfId="359" priority="438" operator="equal">
      <formula>"J"</formula>
    </cfRule>
    <cfRule type="cellIs" dxfId="358" priority="439" operator="equal">
      <formula>"T"</formula>
    </cfRule>
    <cfRule type="cellIs" dxfId="357" priority="440" stopIfTrue="1" operator="equal">
      <formula>"T"</formula>
    </cfRule>
  </conditionalFormatting>
  <conditionalFormatting sqref="Z16">
    <cfRule type="cellIs" dxfId="356" priority="362" operator="equal">
      <formula>"T"</formula>
    </cfRule>
    <cfRule type="cellIs" dxfId="355" priority="363" stopIfTrue="1" operator="equal">
      <formula>"T"</formula>
    </cfRule>
    <cfRule type="cellIs" dxfId="354" priority="364" operator="equal">
      <formula>"J"</formula>
    </cfRule>
    <cfRule type="cellIs" dxfId="353" priority="360" stopIfTrue="1" operator="equal">
      <formula>"T"</formula>
    </cfRule>
    <cfRule type="cellIs" dxfId="352" priority="361" operator="equal">
      <formula>"J"</formula>
    </cfRule>
  </conditionalFormatting>
  <conditionalFormatting sqref="Z18">
    <cfRule type="cellIs" dxfId="351" priority="338" stopIfTrue="1" operator="equal">
      <formula>"T"</formula>
    </cfRule>
    <cfRule type="cellIs" dxfId="350" priority="339" operator="equal">
      <formula>"J"</formula>
    </cfRule>
    <cfRule type="cellIs" dxfId="349" priority="340" operator="equal">
      <formula>"T"</formula>
    </cfRule>
    <cfRule type="cellIs" dxfId="348" priority="341" stopIfTrue="1" operator="equal">
      <formula>"T"</formula>
    </cfRule>
    <cfRule type="cellIs" dxfId="347" priority="342" operator="equal">
      <formula>"J"</formula>
    </cfRule>
  </conditionalFormatting>
  <conditionalFormatting sqref="Z19">
    <cfRule type="cellIs" dxfId="346" priority="328" operator="equal">
      <formula>"J"</formula>
    </cfRule>
    <cfRule type="cellIs" dxfId="345" priority="329" operator="equal">
      <formula>"T"</formula>
    </cfRule>
    <cfRule type="cellIs" dxfId="344" priority="330" stopIfTrue="1" operator="equal">
      <formula>"T"</formula>
    </cfRule>
    <cfRule type="cellIs" dxfId="343" priority="331" operator="equal">
      <formula>"J"</formula>
    </cfRule>
    <cfRule type="cellIs" dxfId="342" priority="327" stopIfTrue="1" operator="equal">
      <formula>"T"</formula>
    </cfRule>
  </conditionalFormatting>
  <conditionalFormatting sqref="Z20">
    <cfRule type="cellIs" dxfId="341" priority="320" operator="equal">
      <formula>"J"</formula>
    </cfRule>
    <cfRule type="cellIs" dxfId="340" priority="316" stopIfTrue="1" operator="equal">
      <formula>"T"</formula>
    </cfRule>
    <cfRule type="cellIs" dxfId="339" priority="317" operator="equal">
      <formula>"J"</formula>
    </cfRule>
    <cfRule type="cellIs" dxfId="338" priority="319" stopIfTrue="1" operator="equal">
      <formula>"T"</formula>
    </cfRule>
    <cfRule type="cellIs" dxfId="337" priority="318" operator="equal">
      <formula>"T"</formula>
    </cfRule>
  </conditionalFormatting>
  <conditionalFormatting sqref="Z17:AC17">
    <cfRule type="cellIs" dxfId="336" priority="349" stopIfTrue="1" operator="equal">
      <formula>"T"</formula>
    </cfRule>
    <cfRule type="cellIs" dxfId="335" priority="351" operator="equal">
      <formula>"T"</formula>
    </cfRule>
    <cfRule type="cellIs" dxfId="334" priority="350" operator="equal">
      <formula>"J"</formula>
    </cfRule>
    <cfRule type="cellIs" dxfId="333" priority="353" operator="equal">
      <formula>"J"</formula>
    </cfRule>
    <cfRule type="cellIs" dxfId="332" priority="352" stopIfTrue="1" operator="equal">
      <formula>"T"</formula>
    </cfRule>
  </conditionalFormatting>
  <conditionalFormatting sqref="Z18:AC18">
    <cfRule type="cellIs" dxfId="331" priority="309" operator="equal">
      <formula>"J"</formula>
    </cfRule>
    <cfRule type="cellIs" dxfId="330" priority="308" stopIfTrue="1" operator="equal">
      <formula>"T"</formula>
    </cfRule>
    <cfRule type="cellIs" dxfId="329" priority="307" operator="equal">
      <formula>"T"</formula>
    </cfRule>
    <cfRule type="cellIs" dxfId="328" priority="306" operator="equal">
      <formula>"J"</formula>
    </cfRule>
    <cfRule type="cellIs" dxfId="327" priority="305" stopIfTrue="1" operator="equal">
      <formula>"T"</formula>
    </cfRule>
  </conditionalFormatting>
  <conditionalFormatting sqref="Z19:AC19">
    <cfRule type="cellIs" dxfId="326" priority="295" operator="equal">
      <formula>"J"</formula>
    </cfRule>
    <cfRule type="cellIs" dxfId="325" priority="298" operator="equal">
      <formula>"J"</formula>
    </cfRule>
    <cfRule type="cellIs" dxfId="324" priority="297" stopIfTrue="1" operator="equal">
      <formula>"T"</formula>
    </cfRule>
    <cfRule type="cellIs" dxfId="323" priority="296" operator="equal">
      <formula>"T"</formula>
    </cfRule>
    <cfRule type="cellIs" dxfId="322" priority="294" stopIfTrue="1" operator="equal">
      <formula>"T"</formula>
    </cfRule>
  </conditionalFormatting>
  <conditionalFormatting sqref="Z20:AC20">
    <cfRule type="cellIs" dxfId="321" priority="287" operator="equal">
      <formula>"J"</formula>
    </cfRule>
    <cfRule type="cellIs" dxfId="320" priority="283" stopIfTrue="1" operator="equal">
      <formula>"T"</formula>
    </cfRule>
    <cfRule type="cellIs" dxfId="319" priority="284" operator="equal">
      <formula>"J"</formula>
    </cfRule>
    <cfRule type="cellIs" dxfId="318" priority="285" operator="equal">
      <formula>"T"</formula>
    </cfRule>
    <cfRule type="cellIs" dxfId="317" priority="286" stopIfTrue="1" operator="equal">
      <formula>"T"</formula>
    </cfRule>
  </conditionalFormatting>
  <conditionalFormatting sqref="Z21:AC21">
    <cfRule type="cellIs" dxfId="316" priority="272" stopIfTrue="1" operator="equal">
      <formula>"T"</formula>
    </cfRule>
    <cfRule type="cellIs" dxfId="315" priority="273" operator="equal">
      <formula>"J"</formula>
    </cfRule>
    <cfRule type="cellIs" dxfId="314" priority="274" operator="equal">
      <formula>"T"</formula>
    </cfRule>
    <cfRule type="cellIs" dxfId="313" priority="275" stopIfTrue="1" operator="equal">
      <formula>"T"</formula>
    </cfRule>
    <cfRule type="cellIs" dxfId="312" priority="276" operator="equal">
      <formula>"J"</formula>
    </cfRule>
  </conditionalFormatting>
  <conditionalFormatting sqref="Z22:AC22">
    <cfRule type="cellIs" dxfId="311" priority="264" stopIfTrue="1" operator="equal">
      <formula>"T"</formula>
    </cfRule>
    <cfRule type="cellIs" dxfId="310" priority="261" stopIfTrue="1" operator="equal">
      <formula>"T"</formula>
    </cfRule>
    <cfRule type="cellIs" dxfId="309" priority="262" operator="equal">
      <formula>"J"</formula>
    </cfRule>
    <cfRule type="cellIs" dxfId="308" priority="263" operator="equal">
      <formula>"T"</formula>
    </cfRule>
    <cfRule type="cellIs" dxfId="307" priority="265" operator="equal">
      <formula>"J"</formula>
    </cfRule>
  </conditionalFormatting>
  <conditionalFormatting sqref="Z24:AC24">
    <cfRule type="cellIs" dxfId="306" priority="239" stopIfTrue="1" operator="equal">
      <formula>"T"</formula>
    </cfRule>
    <cfRule type="cellIs" dxfId="305" priority="251" operator="equal">
      <formula>"J"</formula>
    </cfRule>
    <cfRule type="cellIs" dxfId="304" priority="252" operator="equal">
      <formula>"T"</formula>
    </cfRule>
    <cfRule type="cellIs" dxfId="303" priority="253" stopIfTrue="1" operator="equal">
      <formula>"T"</formula>
    </cfRule>
    <cfRule type="cellIs" dxfId="302" priority="254" operator="equal">
      <formula>"J"</formula>
    </cfRule>
    <cfRule type="cellIs" dxfId="301" priority="240" operator="equal">
      <formula>"J"</formula>
    </cfRule>
    <cfRule type="cellIs" dxfId="300" priority="250" stopIfTrue="1" operator="equal">
      <formula>"T"</formula>
    </cfRule>
    <cfRule type="cellIs" dxfId="299" priority="241" operator="equal">
      <formula>"T"</formula>
    </cfRule>
    <cfRule type="cellIs" dxfId="298" priority="242" stopIfTrue="1" operator="equal">
      <formula>"T"</formula>
    </cfRule>
    <cfRule type="cellIs" dxfId="297" priority="243" operator="equal">
      <formula>"J"</formula>
    </cfRule>
  </conditionalFormatting>
  <conditionalFormatting sqref="Z25:AC25">
    <cfRule type="cellIs" dxfId="296" priority="218" operator="equal">
      <formula>"J"</formula>
    </cfRule>
    <cfRule type="cellIs" dxfId="295" priority="219" operator="equal">
      <formula>"T"</formula>
    </cfRule>
    <cfRule type="cellIs" dxfId="294" priority="220" stopIfTrue="1" operator="equal">
      <formula>"T"</formula>
    </cfRule>
    <cfRule type="cellIs" dxfId="293" priority="221" operator="equal">
      <formula>"J"</formula>
    </cfRule>
    <cfRule type="cellIs" dxfId="292" priority="230" operator="equal">
      <formula>"T"</formula>
    </cfRule>
    <cfRule type="cellIs" dxfId="291" priority="229" operator="equal">
      <formula>"J"</formula>
    </cfRule>
    <cfRule type="cellIs" dxfId="290" priority="217" stopIfTrue="1" operator="equal">
      <formula>"T"</formula>
    </cfRule>
    <cfRule type="cellIs" dxfId="289" priority="231" stopIfTrue="1" operator="equal">
      <formula>"T"</formula>
    </cfRule>
    <cfRule type="cellIs" dxfId="288" priority="228" stopIfTrue="1" operator="equal">
      <formula>"T"</formula>
    </cfRule>
    <cfRule type="cellIs" dxfId="287" priority="232" operator="equal">
      <formula>"J"</formula>
    </cfRule>
  </conditionalFormatting>
  <conditionalFormatting sqref="Z26:AC26">
    <cfRule type="cellIs" dxfId="286" priority="195" stopIfTrue="1" operator="equal">
      <formula>"T"</formula>
    </cfRule>
    <cfRule type="cellIs" dxfId="285" priority="196" operator="equal">
      <formula>"J"</formula>
    </cfRule>
    <cfRule type="cellIs" dxfId="284" priority="197" operator="equal">
      <formula>"T"</formula>
    </cfRule>
    <cfRule type="cellIs" dxfId="283" priority="198" stopIfTrue="1" operator="equal">
      <formula>"T"</formula>
    </cfRule>
    <cfRule type="cellIs" dxfId="282" priority="199" operator="equal">
      <formula>"J"</formula>
    </cfRule>
    <cfRule type="cellIs" dxfId="281" priority="210" operator="equal">
      <formula>"J"</formula>
    </cfRule>
    <cfRule type="cellIs" dxfId="280" priority="209" stopIfTrue="1" operator="equal">
      <formula>"T"</formula>
    </cfRule>
    <cfRule type="cellIs" dxfId="279" priority="208" operator="equal">
      <formula>"T"</formula>
    </cfRule>
    <cfRule type="cellIs" dxfId="278" priority="207" operator="equal">
      <formula>"J"</formula>
    </cfRule>
    <cfRule type="cellIs" dxfId="277" priority="206" stopIfTrue="1" operator="equal">
      <formula>"T"</formula>
    </cfRule>
  </conditionalFormatting>
  <conditionalFormatting sqref="Z27:AC27">
    <cfRule type="cellIs" dxfId="276" priority="174" operator="equal">
      <formula>"J"</formula>
    </cfRule>
    <cfRule type="cellIs" dxfId="275" priority="173" stopIfTrue="1" operator="equal">
      <formula>"T"</formula>
    </cfRule>
    <cfRule type="cellIs" dxfId="274" priority="187" stopIfTrue="1" operator="equal">
      <formula>"T"</formula>
    </cfRule>
    <cfRule type="cellIs" dxfId="273" priority="188" operator="equal">
      <formula>"J"</formula>
    </cfRule>
    <cfRule type="cellIs" dxfId="272" priority="184" stopIfTrue="1" operator="equal">
      <formula>"T"</formula>
    </cfRule>
    <cfRule type="cellIs" dxfId="271" priority="185" operator="equal">
      <formula>"J"</formula>
    </cfRule>
    <cfRule type="cellIs" dxfId="270" priority="186" operator="equal">
      <formula>"T"</formula>
    </cfRule>
    <cfRule type="cellIs" dxfId="269" priority="177" operator="equal">
      <formula>"J"</formula>
    </cfRule>
    <cfRule type="cellIs" dxfId="268" priority="176" stopIfTrue="1" operator="equal">
      <formula>"T"</formula>
    </cfRule>
    <cfRule type="cellIs" dxfId="267" priority="175" operator="equal">
      <formula>"T"</formula>
    </cfRule>
  </conditionalFormatting>
  <conditionalFormatting sqref="Z28:AC28">
    <cfRule type="cellIs" dxfId="266" priority="152" operator="equal">
      <formula>"J"</formula>
    </cfRule>
    <cfRule type="cellIs" dxfId="265" priority="151" stopIfTrue="1" operator="equal">
      <formula>"T"</formula>
    </cfRule>
    <cfRule type="cellIs" dxfId="264" priority="165" stopIfTrue="1" operator="equal">
      <formula>"T"</formula>
    </cfRule>
    <cfRule type="cellIs" dxfId="263" priority="166" operator="equal">
      <formula>"J"</formula>
    </cfRule>
    <cfRule type="cellIs" dxfId="262" priority="164" operator="equal">
      <formula>"T"</formula>
    </cfRule>
    <cfRule type="cellIs" dxfId="261" priority="163" operator="equal">
      <formula>"J"</formula>
    </cfRule>
    <cfRule type="cellIs" dxfId="260" priority="162" stopIfTrue="1" operator="equal">
      <formula>"T"</formula>
    </cfRule>
    <cfRule type="cellIs" dxfId="259" priority="155" operator="equal">
      <formula>"J"</formula>
    </cfRule>
    <cfRule type="cellIs" dxfId="258" priority="154" stopIfTrue="1" operator="equal">
      <formula>"T"</formula>
    </cfRule>
    <cfRule type="cellIs" dxfId="257" priority="153" operator="equal">
      <formula>"T"</formula>
    </cfRule>
  </conditionalFormatting>
  <conditionalFormatting sqref="Z29:AC29">
    <cfRule type="cellIs" dxfId="256" priority="130" operator="equal">
      <formula>"J"</formula>
    </cfRule>
    <cfRule type="cellIs" dxfId="255" priority="129" stopIfTrue="1" operator="equal">
      <formula>"T"</formula>
    </cfRule>
    <cfRule type="cellIs" dxfId="254" priority="144" operator="equal">
      <formula>"J"</formula>
    </cfRule>
    <cfRule type="cellIs" dxfId="253" priority="143" stopIfTrue="1" operator="equal">
      <formula>"T"</formula>
    </cfRule>
    <cfRule type="cellIs" dxfId="252" priority="142" operator="equal">
      <formula>"T"</formula>
    </cfRule>
    <cfRule type="cellIs" dxfId="251" priority="141" operator="equal">
      <formula>"J"</formula>
    </cfRule>
    <cfRule type="cellIs" dxfId="250" priority="140" stopIfTrue="1" operator="equal">
      <formula>"T"</formula>
    </cfRule>
    <cfRule type="cellIs" dxfId="249" priority="133" operator="equal">
      <formula>"J"</formula>
    </cfRule>
    <cfRule type="cellIs" dxfId="248" priority="132" stopIfTrue="1" operator="equal">
      <formula>"T"</formula>
    </cfRule>
    <cfRule type="cellIs" dxfId="247" priority="131" operator="equal">
      <formula>"T"</formula>
    </cfRule>
  </conditionalFormatting>
  <conditionalFormatting sqref="Z30:AC30">
    <cfRule type="cellIs" dxfId="246" priority="110" stopIfTrue="1" operator="equal">
      <formula>"T"</formula>
    </cfRule>
    <cfRule type="cellIs" dxfId="245" priority="109" operator="equal">
      <formula>"T"</formula>
    </cfRule>
    <cfRule type="cellIs" dxfId="244" priority="107" stopIfTrue="1" operator="equal">
      <formula>"T"</formula>
    </cfRule>
    <cfRule type="cellIs" dxfId="243" priority="119" operator="equal">
      <formula>"J"</formula>
    </cfRule>
    <cfRule type="cellIs" dxfId="242" priority="122" operator="equal">
      <formula>"J"</formula>
    </cfRule>
    <cfRule type="cellIs" dxfId="241" priority="121" stopIfTrue="1" operator="equal">
      <formula>"T"</formula>
    </cfRule>
    <cfRule type="cellIs" dxfId="240" priority="118" stopIfTrue="1" operator="equal">
      <formula>"T"</formula>
    </cfRule>
    <cfRule type="cellIs" dxfId="239" priority="120" operator="equal">
      <formula>"T"</formula>
    </cfRule>
    <cfRule type="cellIs" dxfId="238" priority="108" operator="equal">
      <formula>"J"</formula>
    </cfRule>
    <cfRule type="cellIs" dxfId="237" priority="111" operator="equal">
      <formula>"J"</formula>
    </cfRule>
  </conditionalFormatting>
  <conditionalFormatting sqref="Z31:AC31">
    <cfRule type="cellIs" dxfId="236" priority="97" operator="equal">
      <formula>"J"</formula>
    </cfRule>
    <cfRule type="cellIs" dxfId="235" priority="98" operator="equal">
      <formula>"T"</formula>
    </cfRule>
    <cfRule type="cellIs" dxfId="234" priority="99" stopIfTrue="1" operator="equal">
      <formula>"T"</formula>
    </cfRule>
    <cfRule type="cellIs" dxfId="233" priority="100" operator="equal">
      <formula>"J"</formula>
    </cfRule>
    <cfRule type="cellIs" dxfId="232" priority="96" stopIfTrue="1" operator="equal">
      <formula>"T"</formula>
    </cfRule>
    <cfRule type="cellIs" dxfId="231" priority="89" operator="equal">
      <formula>"J"</formula>
    </cfRule>
    <cfRule type="cellIs" dxfId="230" priority="88" stopIfTrue="1" operator="equal">
      <formula>"T"</formula>
    </cfRule>
    <cfRule type="cellIs" dxfId="229" priority="87" operator="equal">
      <formula>"T"</formula>
    </cfRule>
    <cfRule type="cellIs" dxfId="228" priority="86" operator="equal">
      <formula>"J"</formula>
    </cfRule>
    <cfRule type="cellIs" dxfId="227" priority="85" stopIfTrue="1" operator="equal">
      <formula>"T"</formula>
    </cfRule>
  </conditionalFormatting>
  <conditionalFormatting sqref="Z32:AC32">
    <cfRule type="cellIs" dxfId="226" priority="78" operator="equal">
      <formula>"J"</formula>
    </cfRule>
    <cfRule type="cellIs" dxfId="225" priority="77" stopIfTrue="1" operator="equal">
      <formula>"T"</formula>
    </cfRule>
    <cfRule type="cellIs" dxfId="224" priority="76" operator="equal">
      <formula>"T"</formula>
    </cfRule>
    <cfRule type="cellIs" dxfId="223" priority="75" operator="equal">
      <formula>"J"</formula>
    </cfRule>
    <cfRule type="cellIs" dxfId="222" priority="74" stopIfTrue="1" operator="equal">
      <formula>"T"</formula>
    </cfRule>
    <cfRule type="cellIs" dxfId="221" priority="67" operator="equal">
      <formula>"J"</formula>
    </cfRule>
    <cfRule type="cellIs" dxfId="220" priority="66" stopIfTrue="1" operator="equal">
      <formula>"T"</formula>
    </cfRule>
    <cfRule type="cellIs" dxfId="219" priority="65" operator="equal">
      <formula>"T"</formula>
    </cfRule>
    <cfRule type="cellIs" dxfId="218" priority="64" operator="equal">
      <formula>"J"</formula>
    </cfRule>
    <cfRule type="cellIs" dxfId="217" priority="63" stopIfTrue="1" operator="equal">
      <formula>"T"</formula>
    </cfRule>
  </conditionalFormatting>
  <conditionalFormatting sqref="Z33:AC33">
    <cfRule type="cellIs" dxfId="216" priority="55" stopIfTrue="1" operator="equal">
      <formula>"T"</formula>
    </cfRule>
    <cfRule type="cellIs" dxfId="215" priority="56" operator="equal">
      <formula>"J"</formula>
    </cfRule>
    <cfRule type="cellIs" dxfId="214" priority="52" stopIfTrue="1" operator="equal">
      <formula>"T"</formula>
    </cfRule>
    <cfRule type="cellIs" dxfId="213" priority="44" stopIfTrue="1" operator="equal">
      <formula>"T"</formula>
    </cfRule>
    <cfRule type="cellIs" dxfId="212" priority="53" operator="equal">
      <formula>"J"</formula>
    </cfRule>
    <cfRule type="cellIs" dxfId="211" priority="54" operator="equal">
      <formula>"T"</formula>
    </cfRule>
    <cfRule type="cellIs" dxfId="210" priority="41" stopIfTrue="1" operator="equal">
      <formula>"T"</formula>
    </cfRule>
    <cfRule type="cellIs" dxfId="209" priority="42" operator="equal">
      <formula>"J"</formula>
    </cfRule>
    <cfRule type="cellIs" dxfId="208" priority="43" operator="equal">
      <formula>"T"</formula>
    </cfRule>
    <cfRule type="cellIs" dxfId="207" priority="45" operator="equal">
      <formula>"J"</formula>
    </cfRule>
  </conditionalFormatting>
  <conditionalFormatting sqref="Z34:AC39">
    <cfRule type="cellIs" dxfId="206" priority="20" operator="equal">
      <formula>"T"</formula>
    </cfRule>
    <cfRule type="cellIs" dxfId="205" priority="22" operator="equal">
      <formula>"J"</formula>
    </cfRule>
    <cfRule type="cellIs" dxfId="204" priority="21" stopIfTrue="1" operator="equal">
      <formula>"T"</formula>
    </cfRule>
    <cfRule type="cellIs" dxfId="203" priority="19" operator="equal">
      <formula>"J"</formula>
    </cfRule>
    <cfRule type="cellIs" dxfId="202" priority="18" stopIfTrue="1" operator="equal">
      <formula>"T"</formula>
    </cfRule>
    <cfRule type="cellIs" dxfId="201" priority="10" stopIfTrue="1" operator="equal">
      <formula>"T"</formula>
    </cfRule>
    <cfRule type="cellIs" dxfId="200" priority="11" operator="equal">
      <formula>"J"</formula>
    </cfRule>
    <cfRule type="cellIs" dxfId="199" priority="9" operator="equal">
      <formula>"T"</formula>
    </cfRule>
    <cfRule type="cellIs" dxfId="198" priority="7" stopIfTrue="1" operator="equal">
      <formula>"T"</formula>
    </cfRule>
    <cfRule type="cellIs" dxfId="197" priority="8" operator="equal">
      <formula>"J"</formula>
    </cfRule>
  </conditionalFormatting>
  <conditionalFormatting sqref="AA12">
    <cfRule type="cellIs" dxfId="196" priority="474" operator="equal">
      <formula>"J"</formula>
    </cfRule>
    <cfRule type="cellIs" dxfId="195" priority="470" stopIfTrue="1" operator="equal">
      <formula>"T"</formula>
    </cfRule>
    <cfRule type="cellIs" dxfId="194" priority="471" operator="equal">
      <formula>"J"</formula>
    </cfRule>
    <cfRule type="cellIs" dxfId="193" priority="473" stopIfTrue="1" operator="equal">
      <formula>"T"</formula>
    </cfRule>
    <cfRule type="cellIs" dxfId="192" priority="472" operator="equal">
      <formula>"T"</formula>
    </cfRule>
  </conditionalFormatting>
  <conditionalFormatting sqref="AA14">
    <cfRule type="cellIs" dxfId="191" priority="429" stopIfTrue="1" operator="equal">
      <formula>"T"</formula>
    </cfRule>
    <cfRule type="cellIs" dxfId="190" priority="428" operator="equal">
      <formula>"T"</formula>
    </cfRule>
    <cfRule type="cellIs" dxfId="189" priority="427" operator="equal">
      <formula>"J"</formula>
    </cfRule>
    <cfRule type="cellIs" dxfId="188" priority="426" stopIfTrue="1" operator="equal">
      <formula>"T"</formula>
    </cfRule>
    <cfRule type="cellIs" dxfId="187" priority="430" operator="equal">
      <formula>"J"</formula>
    </cfRule>
  </conditionalFormatting>
  <conditionalFormatting sqref="AA16">
    <cfRule type="cellIs" dxfId="186" priority="371" stopIfTrue="1" operator="equal">
      <formula>"T"</formula>
    </cfRule>
    <cfRule type="cellIs" dxfId="185" priority="372" operator="equal">
      <formula>"J"</formula>
    </cfRule>
    <cfRule type="cellIs" dxfId="184" priority="373" operator="equal">
      <formula>"T"</formula>
    </cfRule>
    <cfRule type="cellIs" dxfId="183" priority="374" stopIfTrue="1" operator="equal">
      <formula>"T"</formula>
    </cfRule>
    <cfRule type="cellIs" dxfId="182" priority="375" operator="equal">
      <formula>"J"</formula>
    </cfRule>
  </conditionalFormatting>
  <conditionalFormatting sqref="AA31">
    <cfRule type="cellIs" dxfId="181" priority="34" operator="equal">
      <formula>"J"</formula>
    </cfRule>
    <cfRule type="cellIs" dxfId="180" priority="33" stopIfTrue="1" operator="equal">
      <formula>"T"</formula>
    </cfRule>
    <cfRule type="cellIs" dxfId="179" priority="32" operator="equal">
      <formula>"T"</formula>
    </cfRule>
    <cfRule type="cellIs" dxfId="178" priority="31" operator="equal">
      <formula>"J"</formula>
    </cfRule>
    <cfRule type="cellIs" dxfId="177" priority="30" stopIfTrue="1" operator="equal">
      <formula>"T"</formula>
    </cfRule>
  </conditionalFormatting>
  <conditionalFormatting sqref="AB12">
    <cfRule type="cellIs" dxfId="176" priority="461" operator="equal">
      <formula>"T"</formula>
    </cfRule>
    <cfRule type="cellIs" dxfId="175" priority="460" operator="equal">
      <formula>"J"</formula>
    </cfRule>
    <cfRule type="cellIs" dxfId="174" priority="459" stopIfTrue="1" operator="equal">
      <formula>"T"</formula>
    </cfRule>
    <cfRule type="cellIs" dxfId="173" priority="463" operator="equal">
      <formula>"J"</formula>
    </cfRule>
    <cfRule type="cellIs" dxfId="172" priority="462" stopIfTrue="1" operator="equal">
      <formula>"T"</formula>
    </cfRule>
  </conditionalFormatting>
  <conditionalFormatting sqref="AB14">
    <cfRule type="cellIs" dxfId="171" priority="415" stopIfTrue="1" operator="equal">
      <formula>"T"</formula>
    </cfRule>
    <cfRule type="cellIs" dxfId="170" priority="417" operator="equal">
      <formula>"T"</formula>
    </cfRule>
    <cfRule type="cellIs" dxfId="169" priority="418" stopIfTrue="1" operator="equal">
      <formula>"T"</formula>
    </cfRule>
    <cfRule type="cellIs" dxfId="168" priority="419" operator="equal">
      <formula>"J"</formula>
    </cfRule>
    <cfRule type="cellIs" dxfId="167" priority="416" operator="equal">
      <formula>"J"</formula>
    </cfRule>
  </conditionalFormatting>
  <conditionalFormatting sqref="AB16">
    <cfRule type="cellIs" dxfId="166" priority="385" stopIfTrue="1" operator="equal">
      <formula>"T"</formula>
    </cfRule>
    <cfRule type="cellIs" dxfId="165" priority="386" operator="equal">
      <formula>"J"</formula>
    </cfRule>
    <cfRule type="cellIs" dxfId="164" priority="382" stopIfTrue="1" operator="equal">
      <formula>"T"</formula>
    </cfRule>
    <cfRule type="cellIs" dxfId="163" priority="384" operator="equal">
      <formula>"T"</formula>
    </cfRule>
    <cfRule type="cellIs" dxfId="162" priority="383" operator="equal">
      <formula>"J"</formula>
    </cfRule>
  </conditionalFormatting>
  <conditionalFormatting sqref="AC12">
    <cfRule type="cellIs" dxfId="161" priority="448" stopIfTrue="1" operator="equal">
      <formula>"T"</formula>
    </cfRule>
    <cfRule type="cellIs" dxfId="160" priority="452" operator="equal">
      <formula>"J"</formula>
    </cfRule>
    <cfRule type="cellIs" dxfId="159" priority="451" stopIfTrue="1" operator="equal">
      <formula>"T"</formula>
    </cfRule>
    <cfRule type="cellIs" dxfId="158" priority="450" operator="equal">
      <formula>"T"</formula>
    </cfRule>
    <cfRule type="cellIs" dxfId="157" priority="449" operator="equal">
      <formula>"J"</formula>
    </cfRule>
  </conditionalFormatting>
  <conditionalFormatting sqref="AC14">
    <cfRule type="cellIs" dxfId="156" priority="404" stopIfTrue="1" operator="equal">
      <formula>"T"</formula>
    </cfRule>
    <cfRule type="cellIs" dxfId="155" priority="405" operator="equal">
      <formula>"J"</formula>
    </cfRule>
    <cfRule type="cellIs" dxfId="154" priority="406" operator="equal">
      <formula>"T"</formula>
    </cfRule>
    <cfRule type="cellIs" dxfId="153" priority="407" stopIfTrue="1" operator="equal">
      <formula>"T"</formula>
    </cfRule>
    <cfRule type="cellIs" dxfId="152" priority="408" operator="equal">
      <formula>"J"</formula>
    </cfRule>
  </conditionalFormatting>
  <conditionalFormatting sqref="AC16">
    <cfRule type="cellIs" dxfId="151" priority="393" stopIfTrue="1" operator="equal">
      <formula>"T"</formula>
    </cfRule>
    <cfRule type="cellIs" dxfId="150" priority="394" operator="equal">
      <formula>"J"</formula>
    </cfRule>
    <cfRule type="cellIs" dxfId="149" priority="395" operator="equal">
      <formula>"T"</formula>
    </cfRule>
    <cfRule type="cellIs" dxfId="148" priority="396" stopIfTrue="1" operator="equal">
      <formula>"T"</formula>
    </cfRule>
    <cfRule type="cellIs" dxfId="147" priority="397" operator="equal">
      <formula>"J"</formula>
    </cfRule>
  </conditionalFormatting>
  <dataValidations count="1">
    <dataValidation type="list" allowBlank="1" showInputMessage="1" showErrorMessage="1" sqref="H12:L39 N12:R39 T12:W39 Y12:AC39" xr:uid="{DB448F30-1502-420E-A08C-2D16F097EEEF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78" id="{BEA079A8-6B6C-48C4-B06D-7E7FCD91EB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D40:AD63 Q24:R39 T37 V37 T38:V39 T24:W35 T36:U36 W37:W38 Y24:AC39</xm:sqref>
        </x14:conditionalFormatting>
        <x14:conditionalFormatting xmlns:xm="http://schemas.microsoft.com/office/excel/2006/main">
          <x14:cfRule type="iconSet" priority="1580" id="{7AE2BF5B-AA7F-43CB-9B27-ADF1BDEC4E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 D12 Q14:Q20 Q22 R12 Q24:R39 R14:R22 T37 V37 T38:V39 T24:W35 T36:U36 W37:W38 T16:W22 T14:W14 T12:W12 Y12:AC12 Y14:AC14 Y16:AC22 Y24:AC39</xm:sqref>
        </x14:conditionalFormatting>
        <x14:conditionalFormatting xmlns:xm="http://schemas.microsoft.com/office/excel/2006/main">
          <x14:cfRule type="iconSet" priority="1572" id="{83556D18-C551-48F4-B571-9EF4909B84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71" id="{447DF778-38FE-4FDC-B7B9-2C32B1400B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70" id="{38EB5E05-F103-4C4C-9407-20D3C52522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66" id="{F5F09991-5188-46A9-B9EE-E58E929D84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65" id="{C21A1D2B-4C7D-4242-9693-6CDFD2F3ED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64" id="{C784F9D7-7EE0-4C94-89E3-AEC6853723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H12:H21 H28:H31 H33:H38 H24:H26</xm:sqref>
        </x14:conditionalFormatting>
        <x14:conditionalFormatting xmlns:xm="http://schemas.microsoft.com/office/excel/2006/main">
          <x14:cfRule type="iconSet" priority="1553" id="{CD86F700-3492-4B80-819F-4AE9F5C092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H22</xm:sqref>
        </x14:conditionalFormatting>
        <x14:conditionalFormatting xmlns:xm="http://schemas.microsoft.com/office/excel/2006/main">
          <x14:cfRule type="iconSet" priority="1562" id="{07FA624D-A215-4871-AEFF-5A59132429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H27</xm:sqref>
        </x14:conditionalFormatting>
        <x14:conditionalFormatting xmlns:xm="http://schemas.microsoft.com/office/excel/2006/main">
          <x14:cfRule type="iconSet" priority="1559" id="{94578CD6-6100-4D5A-9635-B7A87C5814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H32</xm:sqref>
        </x14:conditionalFormatting>
        <x14:conditionalFormatting xmlns:xm="http://schemas.microsoft.com/office/excel/2006/main">
          <x14:cfRule type="iconSet" priority="1556" id="{5C70F941-D5B8-48D2-A970-D21828E897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H39</xm:sqref>
        </x14:conditionalFormatting>
        <x14:conditionalFormatting xmlns:xm="http://schemas.microsoft.com/office/excel/2006/main">
          <x14:cfRule type="iconSet" priority="1547" id="{ADD6F0DB-3E6A-4D22-A3FF-89D752C71A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H23:L23</xm:sqref>
        </x14:conditionalFormatting>
        <x14:conditionalFormatting xmlns:xm="http://schemas.microsoft.com/office/excel/2006/main">
          <x14:cfRule type="iconSet" priority="1530" id="{B411B88A-4031-4712-86F0-4D4CF9BA94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28" id="{36FD659E-49BA-43CB-9E1C-56C985DEB8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29" id="{762EED06-34DB-4C82-AC3D-84CB8B1193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35" id="{E4DCAB4B-52A6-4BAE-8840-1A5546D784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36" id="{3C2940C0-D9BB-4423-8095-5CAF1DC23F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34" id="{9AF0A428-779B-47EF-B3F3-5ECB4EFB62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I12</xm:sqref>
        </x14:conditionalFormatting>
        <x14:conditionalFormatting xmlns:xm="http://schemas.microsoft.com/office/excel/2006/main">
          <x14:cfRule type="iconSet" priority="1527" id="{F30266CE-CDB0-48C6-BD58-9EC33DEDEB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26" id="{AB677701-A9A4-4D75-AAF4-DD01B52BF8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25" id="{63233D6F-9199-486B-B6FA-DE518A8D52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21" id="{D3ED69CC-1F48-4870-8253-F2532DDEF6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20" id="{38FF5A2E-2E08-4F26-A663-FAD2628CC7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19" id="{B9DC4AA5-BE73-406A-B8B7-3C032AB2C1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I13</xm:sqref>
        </x14:conditionalFormatting>
        <x14:conditionalFormatting xmlns:xm="http://schemas.microsoft.com/office/excel/2006/main">
          <x14:cfRule type="iconSet" priority="1510" id="{80E3D622-07F2-41FD-8147-59EC6CA3B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18" id="{DF5F07BA-547F-4524-92AC-05EC2B603C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17" id="{00DC28F3-2C5C-4650-ACEA-177C15EA9C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16" id="{CDA8B217-54C9-4F94-8FF1-BB0BB95814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12" id="{5306A9C4-7258-4277-875D-9885E78DDB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11" id="{550009D9-DDC2-4E55-A3E1-9652F0695C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I14</xm:sqref>
        </x14:conditionalFormatting>
        <x14:conditionalFormatting xmlns:xm="http://schemas.microsoft.com/office/excel/2006/main">
          <x14:cfRule type="iconSet" priority="1509" id="{A7BE8757-E729-4731-9B09-FD71789A57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08" id="{596C29CD-B0EB-4E63-A929-14064FB53E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02" id="{A2502DC9-AC87-4813-9C5E-FA6D04791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03" id="{6604B7DA-4D15-4F4A-BB78-7FECEEA1B6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07" id="{63FB4FB6-F470-490E-8465-209EF9DB99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01" id="{059EB548-25D6-4AA1-928D-2B6AE2BB89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</xm:sqref>
        </x14:conditionalFormatting>
        <x14:conditionalFormatting xmlns:xm="http://schemas.microsoft.com/office/excel/2006/main">
          <x14:cfRule type="iconSet" priority="1492" id="{1B7F645A-D5C6-4DA3-8F38-152DEB78EB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00" id="{DCB47FE2-9482-4353-8FF8-08D1226F09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99" id="{901074F6-87DF-4310-AB73-5BEA964CD7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8" id="{C8D394A9-C380-4DD3-BC2D-3B1FAE9C67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4" id="{50B88CD9-03A9-426F-81BC-B3283B43B9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3" id="{3F004AE7-1421-42E3-9A33-5A58A7ED0C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I16</xm:sqref>
        </x14:conditionalFormatting>
        <x14:conditionalFormatting xmlns:xm="http://schemas.microsoft.com/office/excel/2006/main">
          <x14:cfRule type="iconSet" priority="1490" id="{936C5E30-905D-45B4-B786-DFDEB0DD98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1" id="{E788441E-CFFA-4EA8-BABD-B193FF4D32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89" id="{1A240ABC-4313-4AED-886E-802ED3A208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4" id="{5F73771C-DB2F-4CE1-885A-7D1D56A123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3" id="{7DD194C8-DC7C-4B66-A361-40C410FC96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5" id="{0B1F6AA9-2F5C-4EE2-A30C-72B8CC991D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I17</xm:sqref>
        </x14:conditionalFormatting>
        <x14:conditionalFormatting xmlns:xm="http://schemas.microsoft.com/office/excel/2006/main">
          <x14:cfRule type="iconSet" priority="1474" id="{C546CCEF-BDF6-49C2-98C8-3742E9EEF2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0" id="{3ACC5395-F999-4FB0-916C-BA9AF383F5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2" id="{DC4E9272-C405-4FBA-A812-DA0D678487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81" id="{8E043B9A-9C44-4201-BD87-BE6EC7A81F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76" id="{5C5F6BEB-9096-4C32-AE6A-EE2D3DCD9E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75" id="{13ECB79D-231D-46D5-BF2E-0673700E20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I18</xm:sqref>
        </x14:conditionalFormatting>
        <x14:conditionalFormatting xmlns:xm="http://schemas.microsoft.com/office/excel/2006/main">
          <x14:cfRule type="iconSet" priority="1473" id="{9FB8F7AC-EE35-4855-AF87-853CAFB7BE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72" id="{BCC8361B-44B1-47AC-A1C3-C7782F884A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71" id="{65796ECA-E5E7-4CEE-BAF3-3088067F1A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7" id="{153B2BBF-4457-43F8-8DBB-A34A2F45DA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6" id="{0EBAAB95-8672-4438-879F-184CECD3AC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5" id="{178351F5-E9C1-42DC-9DB2-4469C860D9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I19</xm:sqref>
        </x14:conditionalFormatting>
        <x14:conditionalFormatting xmlns:xm="http://schemas.microsoft.com/office/excel/2006/main">
          <x14:cfRule type="iconSet" priority="1456" id="{67A0EDD0-A4DC-4C7B-AFF1-05D847F47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4" id="{08E30526-940D-4FE9-9F68-97F5D3AC60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63" id="{72B33224-2AC6-4F65-81DA-9814C535DD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2" id="{69439D56-D47E-4D47-AEE1-E5A0054FC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58" id="{6E3105C9-DB31-4127-AD29-25362B2240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57" id="{749DE601-FF58-4D9D-B73B-43D64610BD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I20</xm:sqref>
        </x14:conditionalFormatting>
        <x14:conditionalFormatting xmlns:xm="http://schemas.microsoft.com/office/excel/2006/main">
          <x14:cfRule type="iconSet" priority="1453" id="{F2B4914A-A623-4AE4-B78F-D8983CDF91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55" id="{0CC66EA0-72DD-4760-913F-75B00013C8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54" id="{093CFE2C-B43D-44D9-9FA6-A2994C37B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9" id="{AA638C50-5FA7-408D-80C2-3B45DE76CC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8" id="{0E355D85-8394-44A7-9350-38AC4B6D6E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7" id="{5549DCA1-EB34-41AA-BBD1-5BBA4432A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I21</xm:sqref>
        </x14:conditionalFormatting>
        <x14:conditionalFormatting xmlns:xm="http://schemas.microsoft.com/office/excel/2006/main">
          <x14:cfRule type="iconSet" priority="1445" id="{6ABD20E1-1C52-4057-A6EC-754607EC10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I22</xm:sqref>
        </x14:conditionalFormatting>
        <x14:conditionalFormatting xmlns:xm="http://schemas.microsoft.com/office/excel/2006/main">
          <x14:cfRule type="iconSet" priority="1435" id="{9BACA697-3F64-4E56-8A09-D262B1EE8F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6" id="{BB5EA76A-0498-4F97-9C15-AD6513AA94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7" id="{60BB6016-118C-4A70-91E8-D1B698EAF7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3" id="{10F4479A-6D50-443C-9B4D-3FA32B4CD1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42" id="{5634DE71-A276-4A64-AFE5-11197E4ACE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1" id="{3305841C-90EC-4BB0-9101-5E2FE9F64E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I24</xm:sqref>
        </x14:conditionalFormatting>
        <x14:conditionalFormatting xmlns:xm="http://schemas.microsoft.com/office/excel/2006/main">
          <x14:cfRule type="iconSet" priority="1428" id="{B44BB2F7-EDCD-4299-9779-3227381545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2" id="{C5B558D3-9C78-433E-8FD1-56C768E461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3" id="{C89260C5-B499-4429-99C5-131CCE9B6C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4" id="{864E0896-C129-4DEE-91C6-9341C2CB59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27" id="{E041A83B-D3D1-4A6E-A2F1-D1E24A9DEA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6" id="{E645042D-33F4-4B8B-AA61-2C1B3E8DA1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I25</xm:sqref>
        </x14:conditionalFormatting>
        <x14:conditionalFormatting xmlns:xm="http://schemas.microsoft.com/office/excel/2006/main">
          <x14:cfRule type="iconSet" priority="1419" id="{06BFCC7E-F54E-400E-85BF-F44669952C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5" id="{B2F51EFB-2D27-4DAF-BD33-0942B3F0E0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24" id="{30CDC8B1-C42D-4543-BABB-B711497BDB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3" id="{A8785CC3-C68D-4B96-9CF8-4D2D83E393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18" id="{63620523-3DF7-404C-907D-62837C82BC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17" id="{22068575-5097-4921-9A4C-1ED8127EFB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I26</xm:sqref>
        </x14:conditionalFormatting>
        <x14:conditionalFormatting xmlns:xm="http://schemas.microsoft.com/office/excel/2006/main">
          <x14:cfRule type="iconSet" priority="1408" id="{C67283B7-FCFC-430A-8048-AC187F3368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10" id="{3CCB8A40-971E-4E47-AF5A-B6C180F075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09" id="{4D51D8ED-C707-4835-8864-AF3E760E0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16" id="{82449202-E598-4E77-9CBB-3929D05C73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15" id="{19B603C6-21F7-4BE6-AB45-FCE8F98AF8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14" id="{441C6A89-C5D0-4C9C-A847-9CBC42547D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I27</xm:sqref>
        </x14:conditionalFormatting>
        <x14:conditionalFormatting xmlns:xm="http://schemas.microsoft.com/office/excel/2006/main">
          <x14:cfRule type="iconSet" priority="1400" id="{2F695189-60FF-4A10-9E75-F653E1D508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9" id="{BF9CB824-A0F6-485C-A5B9-59BBF761DE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01" id="{FCE5C90A-17B7-453B-B64E-4ED9CCC419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05" id="{52079EBC-CF1C-49D1-B686-3A3590C542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06" id="{D56CA478-5EC8-48EB-A489-DA0DB251AF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07" id="{F849DB48-9A42-424A-8205-DCCD12873C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I28</xm:sqref>
        </x14:conditionalFormatting>
        <x14:conditionalFormatting xmlns:xm="http://schemas.microsoft.com/office/excel/2006/main">
          <x14:cfRule type="iconSet" priority="1392" id="{4832E0C1-47B1-49B0-BFFC-D3577F629F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1" id="{635A025F-4758-498B-A7A7-B2984E7132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0" id="{F340944C-9824-4EDA-8048-E5D2A31D55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8" id="{388FE508-C168-4299-93BD-45333B55A3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97" id="{D03B1094-9923-43DB-BA5E-1BBA3AFCAC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6" id="{86588D4E-A67F-43C8-B221-FA5FAA5685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I29</xm:sqref>
        </x14:conditionalFormatting>
        <x14:conditionalFormatting xmlns:xm="http://schemas.microsoft.com/office/excel/2006/main">
          <x14:cfRule type="iconSet" priority="1381" id="{34C22B4C-B670-4E8A-81D6-9CEEBEC057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2" id="{04BEC272-2D26-489B-84B2-A5AF407559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7" id="{E0AA518B-1C67-49B5-9170-FD3FDA06F8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9" id="{1D757BEB-A6B0-4680-B4DE-F6CE30CF53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88" id="{EF3EE59F-B22B-4644-AAEF-5A49AEDAC7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3" id="{B872E356-F725-46C5-87E1-C0173B8341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I30</xm:sqref>
        </x14:conditionalFormatting>
        <x14:conditionalFormatting xmlns:xm="http://schemas.microsoft.com/office/excel/2006/main">
          <x14:cfRule type="iconSet" priority="1379" id="{29F4B4CE-C59D-44C2-A2E1-892F784C83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8" id="{F1A2BCC3-00CE-46FB-ABC6-7DF6BB8CD0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4" id="{4018D20B-6248-4ACA-B23C-C7594936DF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3" id="{D9C815CB-5A27-4D06-8E1F-64E4E8E5C6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2" id="{C0289CF7-9FB9-4D5E-A188-FD87044321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0" id="{CE528177-F5FD-4388-AF63-B8A9077C19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I31</xm:sqref>
        </x14:conditionalFormatting>
        <x14:conditionalFormatting xmlns:xm="http://schemas.microsoft.com/office/excel/2006/main">
          <x14:cfRule type="iconSet" priority="1371" id="{4E644D97-DE48-4BF8-A6C3-82C47DBA3A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70" id="{B25D07AA-0C7C-414F-B575-2BD4CDE97D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9" id="{9AF8820F-0ED6-47EA-AE5C-CA3C52F214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5" id="{B6E738EA-EB70-41DF-A129-CD991E33F9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4" id="{B0806782-8309-48B1-88E5-17FE6D887D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3" id="{87F0ED64-96A4-4A25-B2C0-0DE0BF7196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I32</xm:sqref>
        </x14:conditionalFormatting>
        <x14:conditionalFormatting xmlns:xm="http://schemas.microsoft.com/office/excel/2006/main">
          <x14:cfRule type="iconSet" priority="1360" id="{9D3C1622-E0C7-4101-9194-E5A9905F9C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6" id="{D60FE3B4-E60E-48C3-B345-0A4994B3BD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5" id="{5887551B-0609-4EE9-9FC3-D2341613DA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4" id="{6CD816AE-1CB5-4A8D-BC88-9A3B6291FB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2" id="{CF64F50B-24CB-4424-A266-52C21B8974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61" id="{0D10809E-2EC4-40B4-9118-16478176C7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I33</xm:sqref>
        </x14:conditionalFormatting>
        <x14:conditionalFormatting xmlns:xm="http://schemas.microsoft.com/office/excel/2006/main">
          <x14:cfRule type="iconSet" priority="1353" id="{7875799F-53C2-4434-ADB2-C6022BE99E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52" id="{D6B14CF7-9E91-4234-8144-D3D06F2094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1" id="{7526B03C-49C8-4841-9108-3DB8CAC9ED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7" id="{ACB3838A-6808-4D83-8CDA-00E65AC1E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6" id="{3A40C7EF-168D-4B5F-9E7B-22178052FA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5" id="{294F3B5F-55E0-46AF-B3AF-9DEB9F8011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I34</xm:sqref>
        </x14:conditionalFormatting>
        <x14:conditionalFormatting xmlns:xm="http://schemas.microsoft.com/office/excel/2006/main">
          <x14:cfRule type="iconSet" priority="1336" id="{357C47E8-9E65-4D24-89C9-BB9EF3A6CA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7" id="{472F7E48-6E7B-414A-A5C0-BF7517C76E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8" id="{900ED76D-DBF1-4975-BD4E-3793ACA7EB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4" id="{627E95FD-74BF-4B1A-907E-5A7A7D99A4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43" id="{9FA0E0AA-B0DE-48C6-9F79-ABEA4803CB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2" id="{35BB19E5-2CBE-4DBE-B78E-AE98DC6540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I35</xm:sqref>
        </x14:conditionalFormatting>
        <x14:conditionalFormatting xmlns:xm="http://schemas.microsoft.com/office/excel/2006/main">
          <x14:cfRule type="iconSet" priority="1334" id="{8FD7FB37-4629-4A14-BFFB-6AFBF5E246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I36</xm:sqref>
        </x14:conditionalFormatting>
        <x14:conditionalFormatting xmlns:xm="http://schemas.microsoft.com/office/excel/2006/main">
          <x14:cfRule type="iconSet" priority="1324" id="{E6A332ED-FFF2-402A-A7D7-649C7C9453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25" id="{FE2809F7-E6E7-4CC1-A95F-C484D4DE92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26" id="{E02EF6E0-7A8B-42F9-B90A-5658DEE78E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0" id="{4EE04582-BFC2-4748-B932-6A9DAC52D4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1" id="{31C6BE87-FCC1-4DD6-A2E4-6998A61FBC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2" id="{C68591F4-61F7-455E-A928-F68FDA2EEC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I37</xm:sqref>
        </x14:conditionalFormatting>
        <x14:conditionalFormatting xmlns:xm="http://schemas.microsoft.com/office/excel/2006/main">
          <x14:cfRule type="iconSet" priority="1323" id="{4C8B0BF4-65C6-4893-BDEA-5D15460291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22" id="{986B6710-E052-4603-AD11-CA85ED0D20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21" id="{F9F74CE4-BB91-4EB3-B81E-4071BB7DC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17" id="{33C446D4-6FA9-4270-8578-25594D8E94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16" id="{6F83A2BA-7FD0-4464-8E0A-51313DB3EF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15" id="{F7082724-5533-4E5A-B9DC-AD4AB758EE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I38</xm:sqref>
        </x14:conditionalFormatting>
        <x14:conditionalFormatting xmlns:xm="http://schemas.microsoft.com/office/excel/2006/main">
          <x14:cfRule type="iconSet" priority="1308" id="{41673C2F-C6E8-451D-B15E-E142F5CDB4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07" id="{3D2DF264-E12E-4B76-BE77-9B13EA967D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06" id="{E2C88E47-978D-44C9-BD14-6799C7494C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14" id="{D93B9D6A-FFBB-49C1-B016-0BA754D541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13" id="{AAAE4325-8939-45AF-99AA-26DDE2101C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12" id="{884B50BD-52A5-4634-BBAE-C9FB3B033E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I39</xm:sqref>
        </x14:conditionalFormatting>
        <x14:conditionalFormatting xmlns:xm="http://schemas.microsoft.com/office/excel/2006/main">
          <x14:cfRule type="iconSet" priority="1298" id="{D68F42F8-40FB-49E0-A011-90999E00A6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97" id="{3CE0AC6C-BE2E-41A7-B10F-3B7BC3EEA3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05" id="{3673D66D-CEAC-468A-91D4-D4958ABCFC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99" id="{0FC49AFE-2DB5-40D9-B9EF-6BC078DC37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04" id="{C72B2428-5B4C-4EC5-8BA9-8055708B57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03" id="{407CE62D-71FA-436A-A7B9-D2DBF7EF77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 J14:J22</xm:sqref>
        </x14:conditionalFormatting>
        <x14:conditionalFormatting xmlns:xm="http://schemas.microsoft.com/office/excel/2006/main">
          <x14:cfRule type="iconSet" priority="1295" id="{15F35F2F-A646-4050-BC47-A9D361C6E8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J13</xm:sqref>
        </x14:conditionalFormatting>
        <x14:conditionalFormatting xmlns:xm="http://schemas.microsoft.com/office/excel/2006/main">
          <x14:cfRule type="iconSet" priority="1278" id="{D5688568-5327-4B71-8470-4E9624ADAB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6" id="{73236558-56FC-4E74-9EE8-D06E700390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7" id="{56F41C87-3C0F-41FF-94B2-D031231305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84" id="{1AD897C1-E3BC-4ADB-A275-F3DE3D98D3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83" id="{4307ECA9-A3E0-46F4-9559-91779294D0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82" id="{221CD749-ACB4-4F87-A701-9AE0625685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J24:J39</xm:sqref>
        </x14:conditionalFormatting>
        <x14:conditionalFormatting xmlns:xm="http://schemas.microsoft.com/office/excel/2006/main">
          <x14:cfRule type="iconSet" priority="1273" id="{D849C9ED-1B19-40E1-B0DB-483FF813CB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8" id="{DB2B3A93-5573-4D5E-954C-E81AF4229F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7" id="{959B32AE-BB70-41E3-B629-90B9F83AF8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5" id="{4FBD645E-4D53-46F7-B05B-C35B6D3776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74" id="{4F6C7B0B-FE06-46D8-947A-7CB29797C3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9" id="{0CAF19C6-BED4-45DD-ADFE-42FCBAD6E8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K12:K22</xm:sqref>
        </x14:conditionalFormatting>
        <x14:conditionalFormatting xmlns:xm="http://schemas.microsoft.com/office/excel/2006/main">
          <x14:cfRule type="iconSet" priority="1266" id="{A1A0243B-9AC1-4476-98A8-F90A54BA6D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65" id="{47A83592-5E1B-4528-9EE1-39D4BEDE87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4" id="{E7C506E9-1C5D-446C-B4E6-E885E393F7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8" id="{9DC8BFF2-B23C-474B-9B38-1306AC0670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9" id="{CC75CC1D-65B7-4C44-B685-23CD920BD4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0" id="{AA3F2BBC-2D59-4509-B16F-5126704B28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K24:K35 K37:K39</xm:sqref>
        </x14:conditionalFormatting>
        <x14:conditionalFormatting xmlns:xm="http://schemas.microsoft.com/office/excel/2006/main">
          <x14:cfRule type="iconSet" priority="1256" id="{725A16F0-43D7-4DD2-A738-C1332F9992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246" id="{185413A6-C667-4C93-B4B2-E3DC795705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7" id="{EB1D4A94-F3AB-400E-8F0E-FA9ADBF5E2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8" id="{F57FA5CC-626B-47E6-9026-CC6168BC49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4" id="{4AAC31EE-EB19-46D5-8063-DE124ADF8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53" id="{642D00A1-10C1-469A-A4F9-343B880831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2" id="{E9ED5B1B-199C-4DB1-A1A2-86442A3829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L12:L22</xm:sqref>
        </x14:conditionalFormatting>
        <x14:conditionalFormatting xmlns:xm="http://schemas.microsoft.com/office/excel/2006/main">
          <x14:cfRule type="iconSet" priority="1245" id="{38AEC6C8-2D5A-4960-9AB6-2B507669E2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44" id="{4FC3E955-A728-464C-B080-B04A83A95B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9" id="{68E524E6-9EF8-4B3F-B04E-197F9C8F55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3" id="{61C266C2-517D-4930-98D7-2418BAD202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8" id="{F605D9E9-DC33-4E0D-BCA9-6E1582292B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7" id="{98DE0E6B-6293-4CBD-8258-8EB8FB88A6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L24:L39</xm:sqref>
        </x14:conditionalFormatting>
        <x14:conditionalFormatting xmlns:xm="http://schemas.microsoft.com/office/excel/2006/main">
          <x14:cfRule type="iconSet" priority="1579" id="{0E59C8A3-8C8A-4918-8AE5-FA12A0C700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M11 S11 X11 Q14:Q20 Q22 R12 Q24:R39 R14:R22 T37 V37 T38:V39 T24:W35 T36:U36 W37:W38 T16:W22 T14:W14 T12:W12 Y12:AC12 Y14:AC14 Y16:AC22 Y24:AC39</xm:sqref>
        </x14:conditionalFormatting>
        <x14:conditionalFormatting xmlns:xm="http://schemas.microsoft.com/office/excel/2006/main">
          <x14:cfRule type="iconSet" priority="1226" id="{01DF6FD0-C940-40B4-A914-CD15D519D1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7" id="{C8FE43DD-1EF1-49AC-867E-D6D94141DF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19" id="{4826C4F2-120A-4F57-98DE-9B9B739B49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5" id="{250B30A5-3645-4D23-B11E-E7020CFAC3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1" id="{53D8D365-20C3-4D3D-8DFD-F4BA8BFCE3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0" id="{90CD1D2D-7EC2-4D21-ABA5-E473CCE6F9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N24:N39</xm:sqref>
        </x14:conditionalFormatting>
        <x14:conditionalFormatting xmlns:xm="http://schemas.microsoft.com/office/excel/2006/main">
          <x14:cfRule type="iconSet" priority="1236" id="{E7B810F0-9A35-4364-A702-8C9982B6CE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35" id="{84BC3178-B71C-4453-94C2-BFB962FD6E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4" id="{B98B174B-FA8F-4710-A602-31EDA2B30B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0" id="{ABFBA269-5E6F-4334-87AB-1121431B3D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9" id="{E70FF5BA-BD79-476F-BB99-057154465F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28" id="{FE4E3DBF-7470-441F-806C-E9A6226FA6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N12:O20 N22:O22 N21</xm:sqref>
        </x14:conditionalFormatting>
        <x14:conditionalFormatting xmlns:xm="http://schemas.microsoft.com/office/excel/2006/main">
          <x14:cfRule type="iconSet" priority="1544" id="{29369D71-687D-40B8-8F24-37281C79BF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N23:R23</xm:sqref>
        </x14:conditionalFormatting>
        <x14:conditionalFormatting xmlns:xm="http://schemas.microsoft.com/office/excel/2006/main">
          <x14:cfRule type="iconSet" priority="1217" id="{8EDFC0AD-C521-47F2-84C6-9B1A0BD2E9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O21</xm:sqref>
        </x14:conditionalFormatting>
        <x14:conditionalFormatting xmlns:xm="http://schemas.microsoft.com/office/excel/2006/main">
          <x14:cfRule type="iconSet" priority="1184" id="{26700DEA-5BA1-4DAB-AB10-E61FB448E2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O24</xm:sqref>
        </x14:conditionalFormatting>
        <x14:conditionalFormatting xmlns:xm="http://schemas.microsoft.com/office/excel/2006/main">
          <x14:cfRule type="iconSet" priority="1193" id="{A9F96554-D62F-4A96-8B04-B7ECAA0B13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8" id="{7BB303BF-AB92-4179-BCAE-8B7C27BBAA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7" id="{9522BE40-6E0A-48CF-A2E4-3B4FB857A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6" id="{3F87E0EF-1C71-45FE-A497-86EACBFED2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92" id="{6F9EB4BC-2771-4827-A4F6-9670A6B5B7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94" id="{A02A14F1-FBE7-4DB9-9DE1-C826A4D8AB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O25</xm:sqref>
        </x14:conditionalFormatting>
        <x14:conditionalFormatting xmlns:xm="http://schemas.microsoft.com/office/excel/2006/main">
          <x14:cfRule type="iconSet" priority="1203" id="{25DEF9F8-8DDA-46D3-A9F0-3CC053C7F0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02" id="{5CFDABFA-434A-4648-9E60-9221485290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01" id="{AE774AC5-91E6-4C84-AA25-03F3E26C25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97" id="{FB195BEC-760D-47C0-ACAF-38516D2123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96" id="{372BE4F5-4CE5-41A4-8524-B20580B131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95" id="{6B7CF5FA-5B49-46DC-8B71-D6D2405011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O26:O39</xm:sqref>
        </x14:conditionalFormatting>
        <x14:conditionalFormatting xmlns:xm="http://schemas.microsoft.com/office/excel/2006/main">
          <x14:cfRule type="iconSet" priority="1175" id="{DA7CDC8B-0906-408B-BBDB-BDA408EF78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2" id="{A381A752-74E5-473A-A392-C8F552330C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81" id="{5DDBD1A2-E8A3-4174-BE8B-1DE892254C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0" id="{92C163CA-4E8F-4203-95E1-AFE079CDF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74" id="{2A1C8F15-5116-46C1-A49D-50831F158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76" id="{031B23E2-48E1-45FB-9B02-976F21F8C3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P12:P22</xm:sqref>
        </x14:conditionalFormatting>
        <x14:conditionalFormatting xmlns:xm="http://schemas.microsoft.com/office/excel/2006/main">
          <x14:cfRule type="iconSet" priority="1167" id="{71450110-2CB4-4E87-93D0-427693675E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66" id="{195EB54B-AEA2-48EB-93D0-0D7E0DAA1B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65" id="{EDC8B76C-F46A-4399-B63B-23E2717AF5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73" id="{C70C25E8-9721-48DD-B713-57F9288147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72" id="{D8591CF6-1AE5-4A31-B1DB-11DBFB855C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71" id="{ABF888A6-095E-45E1-83F1-A0EF6085FD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P24:P39</xm:sqref>
        </x14:conditionalFormatting>
        <x14:conditionalFormatting xmlns:xm="http://schemas.microsoft.com/office/excel/2006/main">
          <x14:cfRule type="iconSet" priority="1157" id="{26D42B7F-CBB4-4CAE-841D-26FFD1AD90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Q12</xm:sqref>
        </x14:conditionalFormatting>
        <x14:conditionalFormatting xmlns:xm="http://schemas.microsoft.com/office/excel/2006/main">
          <x14:cfRule type="iconSet" priority="1164" id="{E4CAF0AB-114A-4F36-94CB-BA18F9EE2A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63" id="{67C984CF-D67D-4779-9C07-2F9360B5B4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61" id="{28EF5C5D-BD34-41F4-A9A7-6C81A976B2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62" id="{C081977F-2D9E-476D-AFED-D149D21432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60" id="{CCF50CD0-C32D-4DC1-9941-FF9759E8C4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59" id="{F6703638-E4F4-4833-A060-F7820C2913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Q14:Q20</xm:sqref>
        </x14:conditionalFormatting>
        <x14:conditionalFormatting xmlns:xm="http://schemas.microsoft.com/office/excel/2006/main">
          <x14:cfRule type="iconSet" priority="1151" id="{6B59E4A4-82FB-455D-A422-FC7C6BF934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Q21</xm:sqref>
        </x14:conditionalFormatting>
        <x14:conditionalFormatting xmlns:xm="http://schemas.microsoft.com/office/excel/2006/main">
          <x14:cfRule type="iconSet" priority="1148" id="{33603009-9142-435C-9520-5C26810581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6" id="{2611266D-B626-4BDF-9F21-B580EC378D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4" id="{33622F3A-7D80-40C8-8BD4-B0A78C2DCB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5" id="{2F66A855-FAC9-4F0D-832E-B75752C503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7" id="{93E27C70-949C-44AF-AC60-E2BAD4E6D2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9" id="{C58F002B-1B6F-4B8A-85F8-296FDFD194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Q22</xm:sqref>
        </x14:conditionalFormatting>
        <x14:conditionalFormatting xmlns:xm="http://schemas.microsoft.com/office/excel/2006/main">
          <x14:cfRule type="iconSet" priority="1140" id="{389C710F-9542-4013-91B7-E6AD638594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2" id="{50F8D0BD-6AFE-48D7-9B42-9988A1575A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1" id="{4F50EDC3-66CB-44F8-9F37-C7C7D8BB01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8" id="{5A999EF3-7B23-4D72-97F4-412F835CA8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9" id="{C02DFAAA-9A0C-4928-948E-5BCB789040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3" id="{74090A6E-2C7B-4133-8291-22445198A8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Q24</xm:sqref>
        </x14:conditionalFormatting>
        <x14:conditionalFormatting xmlns:xm="http://schemas.microsoft.com/office/excel/2006/main">
          <x14:cfRule type="iconSet" priority="1132" id="{8FA716EA-6243-4928-BBD9-2557E417C7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3" id="{96B9E8DC-9E20-42D8-B84B-3C30A4BBCD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4" id="{5B02AA92-3B87-486F-8731-72B39C3C50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5" id="{01D9E35D-CF5D-4780-B355-1C060ED9F8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6" id="{D1ED25FA-E63F-4FB8-9E3C-3E8F70970E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7" id="{428EB008-A08F-4D12-8243-3AC0D780AD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Q25</xm:sqref>
        </x14:conditionalFormatting>
        <x14:conditionalFormatting xmlns:xm="http://schemas.microsoft.com/office/excel/2006/main">
          <x14:cfRule type="iconSet" priority="1128" id="{FEBB676B-ED1D-4147-8E0F-3837AA1824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9" id="{39B65674-699C-4F5C-BEEB-E8BA5EEBDE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1" id="{48A6F9AE-4024-42E4-83C3-5FC2CF1EE2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30" id="{FBCC0123-7A8E-450F-B7C1-CBCD175AD4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7" id="{50481ABA-8702-47A8-A8F1-15919281DF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6" id="{FE5FA043-A4AE-4AF5-8D0A-385E63ADA7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Q26</xm:sqref>
        </x14:conditionalFormatting>
        <x14:conditionalFormatting xmlns:xm="http://schemas.microsoft.com/office/excel/2006/main">
          <x14:cfRule type="iconSet" priority="1122" id="{CA5CC94C-BFA9-4983-B6EB-EB57A19229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3" id="{5F7C1E2E-3076-4681-A860-9E909DE21C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1" id="{C012591C-6BF6-492B-91A4-70E1C14A9B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0" id="{15C7FDCF-05DE-4DF3-9142-B255AC919F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5" id="{AD739544-BB80-4C3E-B6AF-FC315E09B8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24" id="{F54B7545-D381-4C32-9C00-F2F2D3C43E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Q27</xm:sqref>
        </x14:conditionalFormatting>
        <x14:conditionalFormatting xmlns:xm="http://schemas.microsoft.com/office/excel/2006/main">
          <x14:cfRule type="iconSet" priority="1114" id="{93BB4BAE-A848-4B7C-B1A6-9C69EDC3BC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5" id="{836B4599-19DF-4696-B54F-184287FBDD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7" id="{BC59BABF-7DED-4CE2-9B7A-4ADD37166F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8" id="{4E323F4F-5894-49B7-B951-EDD9D52D76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9" id="{0ACFC03A-75E1-4190-B4D6-E789D5874C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16" id="{64C3E817-3252-4A26-9A77-3B7A919BB0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Q28</xm:sqref>
        </x14:conditionalFormatting>
        <x14:conditionalFormatting xmlns:xm="http://schemas.microsoft.com/office/excel/2006/main">
          <x14:cfRule type="iconSet" priority="1113" id="{67F94EDF-659E-49ED-8EF3-6BDADBE695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12" id="{0FAB8AC5-1819-4175-9AE5-DDA5AC2DB9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1" id="{D50F69BB-BB6C-43C0-A165-C6B277DE23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9" id="{6B5F1BEF-79E2-4602-B7BF-7103100FCB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0" id="{6429A93D-9CBC-4307-80BF-DF09289A74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8" id="{5263B1C8-556F-476B-86D8-D0E194D923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Q29</xm:sqref>
        </x14:conditionalFormatting>
        <x14:conditionalFormatting xmlns:xm="http://schemas.microsoft.com/office/excel/2006/main">
          <x14:cfRule type="iconSet" priority="1104" id="{62794EF7-6182-40CA-9C08-C6F8CF8CC5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3" id="{0FEFD13D-561B-44F5-A87E-C5BFC34E77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2" id="{D705600B-3659-4385-99F7-3776236F98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7" id="{0F4063CC-0C95-45A4-9C77-C106A1EBB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06" id="{DB4A5CAB-B592-4D05-AF52-5B0E926B20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5" id="{6EDE93C7-5016-44F6-BF31-45B9190266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Q30</xm:sqref>
        </x14:conditionalFormatting>
        <x14:conditionalFormatting xmlns:xm="http://schemas.microsoft.com/office/excel/2006/main">
          <x14:cfRule type="iconSet" priority="1101" id="{B3F47FB8-EEFF-4847-964B-C853D9437C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00" id="{D689A250-F1B0-414D-8770-5C4094242F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9" id="{E9A29717-99C2-413F-94C2-BD2D7B0B2D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8" id="{6B5DC7FB-6ADF-4C72-A3D4-95C300FA54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7" id="{17FACE3E-F235-4497-A47F-96CBB8DD26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6" id="{8F20A4C4-29C7-4B80-BF92-F442113EE7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Q31</xm:sqref>
        </x14:conditionalFormatting>
        <x14:conditionalFormatting xmlns:xm="http://schemas.microsoft.com/office/excel/2006/main">
          <x14:cfRule type="iconSet" priority="1094" id="{72A9EF27-1EBE-4964-A774-79DC4C2E89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3" id="{E4AB483E-A1AF-43BE-95AF-1A6419391F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2" id="{A6250086-28D5-4C9F-8778-32B5FC2C38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1" id="{C5DA0668-A3FE-4E78-B354-832B02539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5" id="{03D25DC0-1E5E-4FCA-B1D6-3018BD6051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90" id="{88195510-88CF-4C0E-875F-277C3E34CC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Q32</xm:sqref>
        </x14:conditionalFormatting>
        <x14:conditionalFormatting xmlns:xm="http://schemas.microsoft.com/office/excel/2006/main">
          <x14:cfRule type="iconSet" priority="1089" id="{82FDF4DF-A054-41CB-BCC2-E416E467D9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87" id="{AB25F1D5-CCE2-453F-93F3-57B107C91A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6" id="{B1799EFB-0A1C-4A0E-A15F-71BD6DCB519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5" id="{C3C90710-CFE6-4575-A5D7-463C9FAC74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4" id="{F5FBE2F9-A67A-4385-B4BE-DF9DBC42A5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8" id="{8F821C50-BB6A-4294-BE08-0084AE3C2E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Q33</xm:sqref>
        </x14:conditionalFormatting>
        <x14:conditionalFormatting xmlns:xm="http://schemas.microsoft.com/office/excel/2006/main">
          <x14:cfRule type="iconSet" priority="1079" id="{1C45B978-42A3-4DCA-BA36-DAB5B8ADDE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0" id="{F163BFC9-6ABC-4E73-9CFD-F715A851F0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8" id="{D0A3C393-93C5-4AE3-93F6-556D0C523D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3" id="{AB08A93C-3374-401B-B7DE-32325DE24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82" id="{760F12DE-440B-4C25-8A36-4E21CCDF5A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1" id="{868DA666-FF7B-4A44-8C99-5F38478A65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Q34</xm:sqref>
        </x14:conditionalFormatting>
        <x14:conditionalFormatting xmlns:xm="http://schemas.microsoft.com/office/excel/2006/main">
          <x14:cfRule type="iconSet" priority="1077" id="{AA98B3BF-DA3C-4BFD-90F3-41161A7A0C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76" id="{78D575B3-6054-4C7D-A29C-21E22C81A7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5" id="{6570F4E7-ACCB-4012-9B16-2D1B696B2D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4" id="{4109711E-775F-4D66-9B78-11D52F9B45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3" id="{91D4DF8E-7BB3-4C73-8876-45B74BA741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2" id="{58FA8A1B-4662-4627-B02C-764E1FE66E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Q35</xm:sqref>
        </x14:conditionalFormatting>
        <x14:conditionalFormatting xmlns:xm="http://schemas.microsoft.com/office/excel/2006/main">
          <x14:cfRule type="iconSet" priority="1066" id="{D1827C28-3FE4-4BFB-ADB0-F6842779C4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7" id="{DFB5D300-70EB-4D04-A162-2E507D0F35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0" id="{95125348-32C1-43CB-AA89-1CA4FA196F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8" id="{6C56C5B2-9DF5-4EFE-881F-B67F02C3FF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9" id="{453FA24A-FB28-4E9A-BB5C-230FFC9E7E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71" id="{AC7107B2-4ED1-4914-878C-135E5E420C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Q36</xm:sqref>
        </x14:conditionalFormatting>
        <x14:conditionalFormatting xmlns:xm="http://schemas.microsoft.com/office/excel/2006/main">
          <x14:cfRule type="iconSet" priority="1060" id="{9BA17DCC-BBAA-4671-9F02-D0A6370D4A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1" id="{83C3719D-B2B7-4511-BC77-3B59D27AFC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2" id="{4AE799D0-6B40-41B6-97A2-D87336003F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3" id="{5AFCDF22-B7A9-4DE1-A434-1F36940295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5" id="{4C867A64-4908-4DCB-8F7E-E21EF75711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64" id="{A34646E7-49EB-4E2E-A760-8635F2B830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Q37</xm:sqref>
        </x14:conditionalFormatting>
        <x14:conditionalFormatting xmlns:xm="http://schemas.microsoft.com/office/excel/2006/main">
          <x14:cfRule type="iconSet" priority="1059" id="{EDC567B8-DFC8-42CD-8ACA-F5416C9DBB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58" id="{226DEA9D-566A-49CD-91D1-3B7551C18C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7" id="{475B1D96-5713-42AC-94EE-621B29126E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6" id="{6BFC5189-44F3-4763-BC54-C3630EBC60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5" id="{D9E999AF-1619-4694-B36E-F550DD6F9E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4" id="{ED397133-551B-491D-9A34-D67B6E72AA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Q38</xm:sqref>
        </x14:conditionalFormatting>
        <x14:conditionalFormatting xmlns:xm="http://schemas.microsoft.com/office/excel/2006/main">
          <x14:cfRule type="iconSet" priority="1053" id="{064ABE1B-4716-47AD-809C-722DE22525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52" id="{8A3364A2-892E-4981-996E-6A416712D1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1" id="{1F59EC43-4560-4A53-9DA3-FC26A308B3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0" id="{98689BF8-668B-4CF1-8EFC-86787E715D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9" id="{DA2DBDB9-4B63-4BEC-94CE-F2DAC1BA29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8" id="{29D1671C-4BBE-49AE-8C28-684D609EF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Q39</xm:sqref>
        </x14:conditionalFormatting>
        <x14:conditionalFormatting xmlns:xm="http://schemas.microsoft.com/office/excel/2006/main">
          <x14:cfRule type="iconSet" priority="1154" id="{08094BD2-84AE-4341-B8B3-EF631C7ED2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Q13:R13</xm:sqref>
        </x14:conditionalFormatting>
        <x14:conditionalFormatting xmlns:xm="http://schemas.microsoft.com/office/excel/2006/main">
          <x14:cfRule type="iconSet" priority="1042" id="{47237D95-045C-45ED-874E-7CCA3C44CB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3" id="{50DCE34C-4DF1-40F8-9738-1816884F56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7" id="{862EFE9B-969B-4DAE-AF84-B240CD465B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46" id="{889FC95D-E2BB-4E71-9E1F-1BE5DE6775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5" id="{8204A3A0-4BD6-409A-9F3E-B7C3B9D626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4" id="{AB9E0D38-939E-4655-BF7D-84C4AE2C5B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 R14:R22</xm:sqref>
        </x14:conditionalFormatting>
        <x14:conditionalFormatting xmlns:xm="http://schemas.microsoft.com/office/excel/2006/main">
          <x14:cfRule type="iconSet" priority="1024" id="{2FCE4F95-01F9-49B3-A51C-8E3D0AD1A4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8" id="{4EAF065B-661D-44D1-805E-10D4F5B733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37" id="{9B65ED46-24C9-42DC-AF36-7BBD0DF486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6" id="{70030E76-A0D8-4433-9DCF-75B332F124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5" id="{5BBEF809-2D43-4BFF-A1CC-7BADABCDCD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4" id="{52CA556D-78CD-4B12-9D5E-7878BB1EF6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3" id="{A6534DDB-77BB-4573-9DE6-2776B821B5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29" id="{5E29367C-EB04-40FC-A8EF-859D7D3B72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28" id="{6A9DFE5D-8667-40B7-95B4-4859473AE5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27" id="{B13F0BCB-A354-4A09-BA6D-074C75949A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26" id="{A1960DF8-9A02-40C8-B362-35D42B4DC2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25" id="{9CB0BDBB-1AF4-421E-98DE-7A96E418DC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R24:R39</xm:sqref>
        </x14:conditionalFormatting>
        <x14:conditionalFormatting xmlns:xm="http://schemas.microsoft.com/office/excel/2006/main">
          <x14:cfRule type="iconSet" priority="996" id="{AE0307BF-2F72-46DC-BD55-737888C615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97" id="{C6C30758-0518-4B89-B9ED-423D1B81B8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92" id="{2923A6A2-61C1-4118-9061-08C0E1246B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93" id="{5F0C4083-38DA-4624-9E00-4D05EA7DE3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94" id="{28DE79A4-9EEA-4246-BEBA-EF9C5D55AB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95" id="{DBFABE2A-366C-44C3-A4CF-4B7B2D473B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T14</xm:sqref>
        </x14:conditionalFormatting>
        <x14:conditionalFormatting xmlns:xm="http://schemas.microsoft.com/office/excel/2006/main">
          <x14:cfRule type="iconSet" priority="988" id="{EF5C390D-55EC-4204-A429-D70B2D36B7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87" id="{6DBF00A6-BEC3-4136-833D-02F8132D07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86" id="{DEC4D45F-D7A9-4270-9C20-95477C97A1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85" id="{464ABCC5-BBA8-4937-A5F6-671EAAE9F5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84" id="{53E6A91B-FD8A-4DCB-8FD1-1E6DEE1C6B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83" id="{BA447D03-0ADD-4360-840C-45484266F5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T16:T22</xm:sqref>
        </x14:conditionalFormatting>
        <x14:conditionalFormatting xmlns:xm="http://schemas.microsoft.com/office/excel/2006/main">
          <x14:cfRule type="iconSet" priority="974" id="{376ED6D6-CFD8-49ED-B249-A405FE266E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9" id="{991C607D-88E2-404E-980D-AD1FC5486D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78" id="{83E2C0B5-E76D-4275-AFAB-7EFE2A49D9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7" id="{1F2F198C-BB05-472C-BC24-6A8BFF2489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6" id="{96550D73-F4D2-40C0-918B-A0C2C6C7A4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5" id="{F9AEA6C8-8980-444E-BA04-DA1856CAED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T24:T39</xm:sqref>
        </x14:conditionalFormatting>
        <x14:conditionalFormatting xmlns:xm="http://schemas.microsoft.com/office/excel/2006/main">
          <x14:cfRule type="iconSet" priority="1003" id="{9B15E188-6315-4C05-A60B-AFA010F77D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6" id="{FFD78D3B-B24F-460E-BD28-982186C5DB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05" id="{6AB39578-1131-4832-989C-3DE8B7182A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4" id="{284CB0E2-E182-4A78-8AE8-B2208F6753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2" id="{F58D696E-3819-4651-851B-350DB9685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1" id="{25A5E021-6C24-4DF7-816A-2A255DAB67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T12:V12</xm:sqref>
        </x14:conditionalFormatting>
        <x14:conditionalFormatting xmlns:xm="http://schemas.microsoft.com/office/excel/2006/main">
          <x14:cfRule type="iconSet" priority="1020" id="{8CEDCCCB-F782-4D35-8AC0-03F4B47A03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T13:W13</xm:sqref>
        </x14:conditionalFormatting>
        <x14:conditionalFormatting xmlns:xm="http://schemas.microsoft.com/office/excel/2006/main">
          <x14:cfRule type="iconSet" priority="1014" id="{B8749D1E-0974-4973-A36F-0EF75F3909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T15:W15</xm:sqref>
        </x14:conditionalFormatting>
        <x14:conditionalFormatting xmlns:xm="http://schemas.microsoft.com/office/excel/2006/main">
          <x14:cfRule type="iconSet" priority="1541" id="{A6A05088-3D87-47CD-9C5C-A4A7FD6A36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T23:W23</xm:sqref>
        </x14:conditionalFormatting>
        <x14:conditionalFormatting xmlns:xm="http://schemas.microsoft.com/office/excel/2006/main">
          <x14:cfRule type="iconSet" priority="970" id="{66B52177-8A6B-43BE-84CA-C38E81275F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69" id="{DE3CB366-4881-4761-9BFE-FB12CD1CD1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5" id="{4E1481BE-4ABA-4BF6-AB43-ACD6F865DB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8" id="{2A15CEDD-CC06-49F5-8699-211DE840C0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6" id="{E12C6047-C87A-4C37-829C-D2D19A190E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7" id="{AC0AA1BF-559E-4FA8-970E-3B71CB0115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U14</xm:sqref>
        </x14:conditionalFormatting>
        <x14:conditionalFormatting xmlns:xm="http://schemas.microsoft.com/office/excel/2006/main">
          <x14:cfRule type="iconSet" priority="961" id="{6C18E28B-E09E-4381-880D-D2B1399E9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60" id="{BDEA66C5-BC8F-4AD6-A16F-462E999196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9" id="{394CDA0B-A355-45F6-B764-2EFD335191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8" id="{5517772F-DD43-4845-80D5-FFEA46EA18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7" id="{6E184539-1DBC-4BFB-B573-8ABBF3387C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6" id="{F74FAC04-3853-4673-931D-EEB22D14FE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U16:U22</xm:sqref>
        </x14:conditionalFormatting>
        <x14:conditionalFormatting xmlns:xm="http://schemas.microsoft.com/office/excel/2006/main">
          <x14:cfRule type="iconSet" priority="952" id="{94AB31A5-2829-42AE-9208-168FC2A3F2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51" id="{F74A7F1D-EA7A-4C8D-A693-33847BF7DD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0" id="{A9424BE4-B90B-478A-9931-0F9AF88566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49" id="{22DE1F58-FFA8-4336-8288-CC04003255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48" id="{3B484E9B-0813-4EAD-82A2-D421927BC0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47" id="{24C6D176-E4D1-4671-83ED-CF882A5E17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U24:U36 U38:U39</xm:sqref>
        </x14:conditionalFormatting>
        <x14:conditionalFormatting xmlns:xm="http://schemas.microsoft.com/office/excel/2006/main">
          <x14:cfRule type="iconSet" priority="945" id="{D7102555-9347-4482-BECB-68B116B5C1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U37</xm:sqref>
        </x14:conditionalFormatting>
        <x14:conditionalFormatting xmlns:xm="http://schemas.microsoft.com/office/excel/2006/main">
          <x14:cfRule type="iconSet" priority="935" id="{689A09C6-1FB5-40A8-BDBB-EEC32D51E1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36" id="{6F5AD568-653B-4E2E-8F27-B992D1FECE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40" id="{0AD69B5D-9388-4895-A0E9-908DCF49A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37" id="{9331666D-76CD-46A2-889F-1ED8780165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38" id="{0FD3D8D8-43DB-4845-B36C-21CFEB4348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39" id="{40A839A6-8675-4F30-A759-32334D3A2A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V14</xm:sqref>
        </x14:conditionalFormatting>
        <x14:conditionalFormatting xmlns:xm="http://schemas.microsoft.com/office/excel/2006/main">
          <x14:cfRule type="iconSet" priority="931" id="{8EC06AB4-CDCD-45D8-B478-436AFCE855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30" id="{BFF67374-FD6E-465D-97A4-112D2485B4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9" id="{431F07D2-5BEB-4891-B637-20EEBABBA9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8" id="{C0DF8246-9CC1-41A1-B8C6-12585045E7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7" id="{B9E9A1A1-99D0-4ECB-B7B1-E98A2B0445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6" id="{B6B484BA-0DF7-42FE-BD72-CAE55E91D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V16</xm:sqref>
        </x14:conditionalFormatting>
        <x14:conditionalFormatting xmlns:xm="http://schemas.microsoft.com/office/excel/2006/main">
          <x14:cfRule type="iconSet" priority="925" id="{72E4F0D9-EE60-4674-8227-17348C5A85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V17</xm:sqref>
        </x14:conditionalFormatting>
        <x14:conditionalFormatting xmlns:xm="http://schemas.microsoft.com/office/excel/2006/main">
          <x14:cfRule type="iconSet" priority="921" id="{C4341E91-BF1A-47C9-87F6-525E494B06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20" id="{C014CA96-08FF-4AA3-8EA4-3BEA0FECDC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9" id="{BF1F8D5A-7401-4420-B0B6-C03D6047B4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8" id="{B1E7449A-9391-4AC1-B0C4-FDEE15CBDB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7" id="{E7DD8611-99BF-45EF-9D3C-7752E13C31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6" id="{D68960B7-0296-48B1-82A9-E881E37A09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V18</xm:sqref>
        </x14:conditionalFormatting>
        <x14:conditionalFormatting xmlns:xm="http://schemas.microsoft.com/office/excel/2006/main">
          <x14:cfRule type="iconSet" priority="909" id="{D2983AA0-F464-4A39-9E29-F2F3C2A659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7" id="{A81FBD89-D0BB-4C92-B56C-8E4C81C7BA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8" id="{2A8BDACE-2F96-49E7-822F-C456BC963E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0" id="{EF54278A-35BE-47F7-ACCC-A6CDEC5941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1" id="{9A717B4E-E489-4157-823E-F05CCFBD89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2" id="{82B6CCA7-E286-4826-AFDE-36632BA085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V19</xm:sqref>
        </x14:conditionalFormatting>
        <x14:conditionalFormatting xmlns:xm="http://schemas.microsoft.com/office/excel/2006/main">
          <x14:cfRule type="iconSet" priority="903" id="{84C120EF-FF41-4C03-90FF-251D86C56E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02" id="{AF3E22F8-0047-4C77-B929-6E76391A9A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1" id="{9F198CEC-AFEC-4A99-AC76-BD2D197F30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0" id="{CB918BBE-81CC-4E5B-BD67-EED9F5B1DB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99" id="{B4384F20-044A-46D6-B891-6C1F220055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98" id="{F5531679-29ED-4381-AF80-FE8EBD4DED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V20</xm:sqref>
        </x14:conditionalFormatting>
        <x14:conditionalFormatting xmlns:xm="http://schemas.microsoft.com/office/excel/2006/main">
          <x14:cfRule type="iconSet" priority="892" id="{29E65F1C-8A16-4CE1-B4D9-1FE057126F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94" id="{CC686172-E517-47BD-A6DA-0CE9AA7B60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93" id="{2AE6A012-5166-4B36-B60B-070435B5DC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89" id="{4CFDF37A-A00A-4196-AFF8-6CB56C58BA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91" id="{6E32746B-656C-4272-BA5E-1FA0378E69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90" id="{470A43F5-31B6-4030-819A-033C87CFE9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V21</xm:sqref>
        </x14:conditionalFormatting>
        <x14:conditionalFormatting xmlns:xm="http://schemas.microsoft.com/office/excel/2006/main">
          <x14:cfRule type="iconSet" priority="879" id="{31085986-D240-4A95-9390-00A9452F21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V24</xm:sqref>
        </x14:conditionalFormatting>
        <x14:conditionalFormatting xmlns:xm="http://schemas.microsoft.com/office/excel/2006/main">
          <x14:cfRule type="iconSet" priority="875" id="{984C815D-D8C4-4425-B43C-BFB9439CDC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74" id="{EF24BC11-4D9B-4FDB-9B4F-F6E07AF55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3" id="{56D47C9B-A134-4CEF-BDDD-E910ED49C0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2" id="{8A848894-C1D8-4D34-82C7-31BF552ED8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1" id="{F155A8AF-B417-40F5-8A62-8311EFDE23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0" id="{4E687566-019A-42B3-9869-1DEE9CA4A2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V25</xm:sqref>
        </x14:conditionalFormatting>
        <x14:conditionalFormatting xmlns:xm="http://schemas.microsoft.com/office/excel/2006/main">
          <x14:cfRule type="iconSet" priority="866" id="{B711E82F-E373-4F30-B9D5-731F60614F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65" id="{4BE0A2A3-24DD-44CD-BB5E-42CEB9C54B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4" id="{3DB01FBF-B4CE-41E7-89F3-00AF8B38B9A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3" id="{85914858-29A4-41C2-BCCC-C85F778FEA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2" id="{2224B710-4187-4480-B773-C23EF41411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1" id="{264CAB89-20EF-441B-83C1-F86EC64D7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V26</xm:sqref>
        </x14:conditionalFormatting>
        <x14:conditionalFormatting xmlns:xm="http://schemas.microsoft.com/office/excel/2006/main">
          <x14:cfRule type="iconSet" priority="853" id="{FE862881-6CD1-49BB-9D2F-CF3D7462AD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52" id="{7B5DD3F5-6A79-4E94-AD65-17B4CB1D87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57" id="{B90766D3-CF35-4F36-8D90-29ABB46D0E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56" id="{651455D1-2226-45EA-A2C9-EC13FE1065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55" id="{9E82E49F-1312-4ADB-AF3B-A966468556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54" id="{0B5880C6-60E5-47C9-975A-B99FC80CAB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V27</xm:sqref>
        </x14:conditionalFormatting>
        <x14:conditionalFormatting xmlns:xm="http://schemas.microsoft.com/office/excel/2006/main">
          <x14:cfRule type="iconSet" priority="848" id="{A6006E45-6C2B-47F0-9E61-4967FC9B4D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47" id="{7B5D89B1-23B8-42C0-8B08-DA33C1E27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46" id="{0E48720B-85CA-4A57-8ED4-C6FF60AC99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45" id="{F3EAD92E-DA86-4966-8CF4-359FB3A36E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44" id="{ED928B20-FE18-443F-8D11-582A041C5C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43" id="{F4C6476C-6401-4E5F-BEF8-DCB13562FB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V28</xm:sqref>
        </x14:conditionalFormatting>
        <x14:conditionalFormatting xmlns:xm="http://schemas.microsoft.com/office/excel/2006/main">
          <x14:cfRule type="iconSet" priority="839" id="{EFE4B299-DEA6-492E-B64B-E27903EDEA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38" id="{06589F97-93ED-418F-B065-F5917FAC58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7" id="{88AE2C59-F18D-4354-9B0B-C79264D3F0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6" id="{BB0A1CD7-4B9D-41CD-AF21-0CFE4540F0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5" id="{76625EB9-0FEF-4892-95C4-4B9330E8CA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4" id="{1313B995-BFAC-49C4-AD01-9C439E7660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V29</xm:sqref>
        </x14:conditionalFormatting>
        <x14:conditionalFormatting xmlns:xm="http://schemas.microsoft.com/office/excel/2006/main">
          <x14:cfRule type="iconSet" priority="826" id="{CFDAA476-BA14-42FB-9011-CB4392DF0A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0" id="{DA8DD6BE-A962-4C94-A461-85A3F2C523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29" id="{0FF18871-E82A-4F78-B8F6-078ED66637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8" id="{B30DEF4F-FA37-42DA-8E1C-26E40AABF5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7" id="{AF17283D-F299-4D51-AA04-CD1252298E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5" id="{BE3CA124-9BD3-4B62-9EE9-916AFBA6AF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V30:V35 V37:V39</xm:sqref>
        </x14:conditionalFormatting>
        <x14:conditionalFormatting xmlns:xm="http://schemas.microsoft.com/office/excel/2006/main">
          <x14:cfRule type="iconSet" priority="796" id="{082C093B-C78A-432E-A790-BE3180A31C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V36</xm:sqref>
        </x14:conditionalFormatting>
        <x14:conditionalFormatting xmlns:xm="http://schemas.microsoft.com/office/excel/2006/main">
          <x14:cfRule type="iconSet" priority="885" id="{DAE86B0A-340E-4447-A049-620A90204E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84" id="{C67C7003-D1DF-44D2-AFF4-EBFE60C9CA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83" id="{D73E4627-9E16-4E8C-BCD1-F0E666656A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82" id="{0631C1DF-01AE-4341-B11B-F935E26489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81" id="{2AD5D122-2ED6-48DA-A13F-4F88E59726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80" id="{A1E07816-55E7-4596-989E-886EC53F0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V22:W22</xm:sqref>
        </x14:conditionalFormatting>
        <x14:conditionalFormatting xmlns:xm="http://schemas.microsoft.com/office/excel/2006/main">
          <x14:cfRule type="iconSet" priority="720" id="{9943F0C9-59B4-4BBF-8B88-6202F0B8C2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1" id="{8298A26A-1D5A-4DBC-8F93-ED766BF2BE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2" id="{BA2DFDC3-6A4B-4D82-A1CF-497CBC04B4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3" id="{CA675B8B-4770-42D8-B142-102B4140DA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4" id="{D822D8DC-BFAF-4ECE-8733-B3D680FB45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5" id="{C43E79B4-CC39-4ABD-81D4-CDC066D1F4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W12</xm:sqref>
        </x14:conditionalFormatting>
        <x14:conditionalFormatting xmlns:xm="http://schemas.microsoft.com/office/excel/2006/main">
          <x14:cfRule type="iconSet" priority="734" id="{8A94107D-6579-4ED4-9273-2EFE0AF2CE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33" id="{06ECAC86-D459-4BAB-B777-2962038D44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2" id="{D5F67B88-A9D4-4A98-9C0A-737F1B1572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1" id="{642CB86B-F720-4E2B-9DFB-17701CF2E5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0" id="{A6B660FE-7265-4B4A-AD27-96C321B188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9" id="{7F87C645-87F1-42C3-B836-9C29626103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W14</xm:sqref>
        </x14:conditionalFormatting>
        <x14:conditionalFormatting xmlns:xm="http://schemas.microsoft.com/office/excel/2006/main">
          <x14:cfRule type="iconSet" priority="738" id="{777EF889-BD69-43F3-A902-BD5A1C530B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9" id="{551E87FA-5D2A-4C70-B2C0-2C7D66775C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0" id="{8B44C2F6-E57D-42E1-AC09-3D68309F5D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1" id="{C09F8AFA-4394-407F-AA10-94D40BE4B8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2" id="{916D8E5C-90F8-40DF-A69B-79B2C76792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3" id="{373AA60A-B5BB-4BBF-BFF8-54B12C798E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W16</xm:sqref>
        </x14:conditionalFormatting>
        <x14:conditionalFormatting xmlns:xm="http://schemas.microsoft.com/office/excel/2006/main">
          <x14:cfRule type="iconSet" priority="749" id="{A203AEF3-4D44-4F9F-A032-1F7C8DAB29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8" id="{B6C2800E-9129-4245-8CF0-6754B0539E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7" id="{35EC56DC-280E-4C50-A70B-62D268033C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1" id="{6D813854-E151-4C45-A9E5-9721154BAF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0" id="{A8F20AD3-BD0D-48AA-A89F-709D8F45A3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2" id="{8F0170EB-7946-439A-989C-5D3E43389F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W17</xm:sqref>
        </x14:conditionalFormatting>
        <x14:conditionalFormatting xmlns:xm="http://schemas.microsoft.com/office/excel/2006/main">
          <x14:cfRule type="iconSet" priority="756" id="{F480A918-8C9E-4095-8473-EE986FCE1C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7" id="{082EEC83-1971-407A-9B6E-0ACCFC38E8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8" id="{6D1BED0F-6443-412C-A074-F0B5DA131F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9" id="{DBFB616E-8FA8-4386-A456-3BFC288803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0" id="{EA98EF02-95F5-4276-8EC5-165B308DF7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1" id="{E4A7E4FE-FB5E-4068-9952-665DDE129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W18</xm:sqref>
        </x14:conditionalFormatting>
        <x14:conditionalFormatting xmlns:xm="http://schemas.microsoft.com/office/excel/2006/main">
          <x14:cfRule type="iconSet" priority="770" id="{44EC02C2-BD8A-45CF-9619-A869BCA43A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65" id="{155512AB-AE4A-4201-AE4D-C089914076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6" id="{A41B9E63-A401-470C-97EA-29B3FAF8C3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7" id="{0FC2E109-5C12-4123-9943-26B358542B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8" id="{16E18BA8-E351-4892-B31D-C21961C349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9" id="{4E324B14-BE78-4D2A-B4EF-A39127CC3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W19</xm:sqref>
        </x14:conditionalFormatting>
        <x14:conditionalFormatting xmlns:xm="http://schemas.microsoft.com/office/excel/2006/main">
          <x14:cfRule type="iconSet" priority="774" id="{2BFE3D6E-DC33-4DFC-9FF1-68EC2D606F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75" id="{120FDE07-EEA7-49E1-A624-456D225FDB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77" id="{B97AC958-F35A-492F-A695-E060838E32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78" id="{A2558DAF-69D2-4E5A-B726-2485F8C463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79" id="{6D888298-A00F-47C7-B3E3-A17CFA9746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76" id="{24C18EE4-5987-4E30-865C-98546FCB8D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W20</xm:sqref>
        </x14:conditionalFormatting>
        <x14:conditionalFormatting xmlns:xm="http://schemas.microsoft.com/office/excel/2006/main">
          <x14:cfRule type="iconSet" priority="783" id="{6E40586D-DB54-4A7A-A417-5E799526F2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4" id="{68605F9B-E691-406C-8FBC-9AB2127E0B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5" id="{BCA9DBCE-313D-420E-A787-C3A2873240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6" id="{1EBFB7E7-EED9-46BE-9CF0-2B996B1E3B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7" id="{CE29EFBB-DC53-4090-AE51-D4DB9CBA90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8" id="{D851EB5D-E222-4795-B3A6-5611C0AF27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W21</xm:sqref>
        </x14:conditionalFormatting>
        <x14:conditionalFormatting xmlns:xm="http://schemas.microsoft.com/office/excel/2006/main">
          <x14:cfRule type="iconSet" priority="798" id="{DF0069AC-7033-4DDE-819D-E2CAEEFFA8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99" id="{996FD31D-0BAD-498E-856C-349C5EA501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0" id="{EB891681-86F0-4EF5-9EF1-6B5261C0C6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1" id="{E425ABA5-34D9-49FA-97B5-E64BB02B71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2" id="{DEC30817-0720-49A8-BD53-A366251678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3" id="{D55228DA-30E6-4FF5-B1B1-4AFB437F0A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W24:W35 W37:W38</xm:sqref>
        </x14:conditionalFormatting>
        <x14:conditionalFormatting xmlns:xm="http://schemas.microsoft.com/office/excel/2006/main">
          <x14:cfRule type="iconSet" priority="793" id="{05F891C1-D62A-4559-8FC5-0AE1161812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W36</xm:sqref>
        </x14:conditionalFormatting>
        <x14:conditionalFormatting xmlns:xm="http://schemas.microsoft.com/office/excel/2006/main">
          <x14:cfRule type="iconSet" priority="817" id="{534A877F-E09B-4875-B43D-430BE31F7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W39</xm:sqref>
        </x14:conditionalFormatting>
        <x14:conditionalFormatting xmlns:xm="http://schemas.microsoft.com/office/excel/2006/main">
          <x14:cfRule type="iconSet" priority="719" id="{BEC69C86-92FB-4F53-A12D-3B0A7EC254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Y12</xm:sqref>
        </x14:conditionalFormatting>
        <x14:conditionalFormatting xmlns:xm="http://schemas.microsoft.com/office/excel/2006/main">
          <x14:cfRule type="iconSet" priority="713" id="{10E664EA-5C7A-42E6-91F8-5B163DD572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12" id="{119E9270-9716-41B4-9628-5305E45552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11" id="{77927A23-25B2-4599-A48D-1F91B7E7CD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10" id="{C93D37F3-CD40-49E0-85DD-4B033C7BFE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9" id="{3CF67057-9012-4D4D-9003-799D391808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8" id="{69C4B988-1B69-4946-B8A1-A8E3D82AE4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Y14</xm:sqref>
        </x14:conditionalFormatting>
        <x14:conditionalFormatting xmlns:xm="http://schemas.microsoft.com/office/excel/2006/main">
          <x14:cfRule type="iconSet" priority="698" id="{8DF3F05F-DDAE-4407-97D6-1F36F86861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99" id="{310D4F52-10A6-431E-814D-4F1F6584C8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97" id="{A259B889-70E4-480B-B6DE-970AB0D827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2" id="{601F14F6-4498-4169-B780-C5B4EFAC5A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01" id="{714ED13F-6E32-41D2-A1B3-21362CB66C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0" id="{4F224B96-5FF1-468D-9EC4-D9E9048976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Y16</xm:sqref>
        </x14:conditionalFormatting>
        <x14:conditionalFormatting xmlns:xm="http://schemas.microsoft.com/office/excel/2006/main">
          <x14:cfRule type="iconSet" priority="691" id="{6A774845-C659-41D6-9B78-299FA360E0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90" id="{D1DCE696-0171-4701-9CDC-D6A777DB3D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9" id="{91339D71-15A8-4358-B0E8-44A6C11EB7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8" id="{B4C9F338-EEA3-46FF-B241-CAAF7950C7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7" id="{1E7003B9-1434-4647-803A-9B8A4EEDCD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6" id="{40F09881-F320-475B-B229-5809549BB5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4" id="{24D882FC-DCCC-47C5-9EC3-DB08F57A7F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Y17</xm:sqref>
        </x14:conditionalFormatting>
        <x14:conditionalFormatting xmlns:xm="http://schemas.microsoft.com/office/excel/2006/main">
          <x14:cfRule type="iconSet" priority="675" id="{9BA50EB6-F56C-4F89-A43D-3B148BE46B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0" id="{89E23C7D-3163-4F48-AA8D-6F866A6BC7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79" id="{4D48CF4E-A156-4D59-BD73-A2E8ADACA5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7" id="{6F81F195-D36C-49DA-B226-D32728B1F7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6" id="{339C9D7C-CBA9-4E44-9831-FE1D11A2C2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8" id="{3E8A18FD-B888-4B9F-9F82-6411637F25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Y18:Y22</xm:sqref>
        </x14:conditionalFormatting>
        <x14:conditionalFormatting xmlns:xm="http://schemas.microsoft.com/office/excel/2006/main">
          <x14:cfRule type="iconSet" priority="668" id="{0B4D879A-3E7B-4F59-B268-48AA179540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67" id="{969EF04F-BBE4-47FD-B453-33ECDEBE2B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66" id="{6F9972D8-AE26-466F-8BA0-0FE44E4DFC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65" id="{3B22EBA3-44CE-4DD1-9583-DA9499E6E0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64" id="{57BD6055-2818-4628-B575-CD5ABBE5E3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63" id="{FCF4ED87-94AB-466F-ABDE-D916007227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Y24</xm:sqref>
        </x14:conditionalFormatting>
        <x14:conditionalFormatting xmlns:xm="http://schemas.microsoft.com/office/excel/2006/main">
          <x14:cfRule type="iconSet" priority="657" id="{2437B53F-A841-4560-A3E4-6A1718F46D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56" id="{36A3D52B-F5B1-42BB-B800-23024C4191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55" id="{1E4A840C-0EB6-4012-9A6D-7A1ABD23B0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54" id="{4953330C-8F44-4C73-874E-4DDBC90D66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53" id="{DD3078C2-94C1-4EF3-BAA0-B091BFC561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52" id="{1AAFE75F-F11E-4154-895E-BCE1D4E04F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Y25</xm:sqref>
        </x14:conditionalFormatting>
        <x14:conditionalFormatting xmlns:xm="http://schemas.microsoft.com/office/excel/2006/main">
          <x14:cfRule type="iconSet" priority="646" id="{198D7DD0-A48E-4BAB-8246-4BE4451605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45" id="{B79A06D0-652D-42AA-9B0B-B2ADB6BE8C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4" id="{587DAF89-D260-4B64-A427-6FC77A763B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3" id="{C64D1D90-8D14-449E-BF98-0CF3A64B02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2" id="{FD4F11A6-767C-4D04-94A9-E1972B36FE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1" id="{60ED53D5-15E7-472D-B89B-2ABDA91D00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Y26</xm:sqref>
        </x14:conditionalFormatting>
        <x14:conditionalFormatting xmlns:xm="http://schemas.microsoft.com/office/excel/2006/main">
          <x14:cfRule type="iconSet" priority="635" id="{C47DEB8D-B800-4FAC-85A4-098594152D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34" id="{E10DB1F1-E139-49F0-A5B3-C967599C9C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33" id="{5415F3CD-1403-4037-92AB-539E885FA2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32" id="{CF7967EE-BD2B-4989-B49B-EDFA295F99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31" id="{39E95DEB-A4BC-4D83-A33C-02C581FADF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30" id="{95151729-7487-43A2-994A-619A32E8D1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Y27</xm:sqref>
        </x14:conditionalFormatting>
        <x14:conditionalFormatting xmlns:xm="http://schemas.microsoft.com/office/excel/2006/main">
          <x14:cfRule type="iconSet" priority="619" id="{4340BD1D-27C1-4B0F-8E33-DBEF4A2535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0" id="{CA79D369-2E89-4172-98E5-8D5B3D4511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1" id="{F6D4741B-090C-4901-9255-212CA9BA87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2" id="{B4126364-A28D-408D-919F-0FB2C2BC0F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3" id="{1C20313E-6D61-434A-8447-20C37D99CF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4" id="{FB711732-5C26-42FA-A0B2-D0EBBE417F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18" id="{3B842751-9AD7-4BFB-BF2B-6F6FA99D02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Y28</xm:sqref>
        </x14:conditionalFormatting>
        <x14:conditionalFormatting xmlns:xm="http://schemas.microsoft.com/office/excel/2006/main">
          <x14:cfRule type="iconSet" priority="610" id="{82794B31-09CE-437A-A3F0-A14DAA95BD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2" id="{E6BC0E17-6CEB-428B-B21D-2702782BD6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11" id="{C50C8DFF-5C55-4806-BF22-757A1DAFAC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9" id="{C261F266-062C-4CF5-A38C-E3EA243CFD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8" id="{AC178190-A270-4FBE-84E7-07142055F0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7" id="{FEDDAF1B-C65F-4B0B-8D1D-80EA7063EC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Y29</xm:sqref>
        </x14:conditionalFormatting>
        <x14:conditionalFormatting xmlns:xm="http://schemas.microsoft.com/office/excel/2006/main">
          <x14:cfRule type="iconSet" priority="597" id="{14C66163-140B-44C2-A699-9C57EACADB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99" id="{829353C7-0378-491B-A3D7-745DE34A29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0" id="{83E1D3A3-CE52-4D35-95E2-2386607E2C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1" id="{D4A9FE95-4D8E-42BD-A64A-B034D54EF4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98" id="{4EE65745-DF87-4B96-B909-A79386AB1A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96" id="{677353B2-3ADD-41E3-80D9-95D5CED664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Y30</xm:sqref>
        </x14:conditionalFormatting>
        <x14:conditionalFormatting xmlns:xm="http://schemas.microsoft.com/office/excel/2006/main">
          <x14:cfRule type="iconSet" priority="590" id="{3561179D-8E71-4C6B-A064-1FA98DC926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89" id="{1088B788-DF02-4F4E-809C-995CA11E2E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8" id="{4B2D8762-0D20-4E7D-B557-AEABE142E4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7" id="{27A8F8CC-A127-4860-AB16-651D74B50C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6" id="{849187E2-057D-4275-8F12-2BEA20B555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5" id="{74449A8A-90D9-4B65-A4BC-02A4FB562B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Y31</xm:sqref>
        </x14:conditionalFormatting>
        <x14:conditionalFormatting xmlns:xm="http://schemas.microsoft.com/office/excel/2006/main">
          <x14:cfRule type="iconSet" priority="578" id="{DF1B94DC-19B9-4769-BD77-823E3B2E41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79" id="{D56A85AC-AB51-46B3-B404-02BBCF06F9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77" id="{A117A1C9-CE63-40E1-9D0E-0CE4F838C0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76" id="{0127E179-BC08-4369-8CAD-B2A01952B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75" id="{B174BA61-9499-4654-B71B-A577370117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74" id="{CBAF4063-4DE5-40B6-910C-B349CE121B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Y32</xm:sqref>
        </x14:conditionalFormatting>
        <x14:conditionalFormatting xmlns:xm="http://schemas.microsoft.com/office/excel/2006/main">
          <x14:cfRule type="iconSet" priority="563" id="{77A81450-5E68-4529-815F-1C828F0990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8" id="{091803D8-47E1-4F85-9357-EAFD276805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67" id="{2CF0C6C9-2C3F-4286-A316-84E940C449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6" id="{D0FC15AA-1C49-4C83-9AF6-338372FED5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5" id="{8EE04847-5BC1-483C-8221-F553E93BC7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4" id="{E2E55892-0E27-4C75-93CA-66A6B30B46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Y33</xm:sqref>
        </x14:conditionalFormatting>
        <x14:conditionalFormatting xmlns:xm="http://schemas.microsoft.com/office/excel/2006/main">
          <x14:cfRule type="iconSet" priority="557" id="{6465F47F-C54B-4246-9626-3ADBEA264A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56" id="{0327D4E6-AAB6-453D-9821-1CF05FE98F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55" id="{22A55FA5-42DF-4138-9FE5-1D20CD276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54" id="{CABA2313-BC2E-44EF-AF33-E6417480A2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53" id="{0812A0A4-2083-457D-B1E6-94B390FDB0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52" id="{9E845A12-D1A7-4BFF-B8D0-CF7F6981E7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Y34</xm:sqref>
        </x14:conditionalFormatting>
        <x14:conditionalFormatting xmlns:xm="http://schemas.microsoft.com/office/excel/2006/main">
          <x14:cfRule type="iconSet" priority="545" id="{02823BDC-C7FE-4E9D-80F2-1E89855372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46" id="{58203A0B-38E3-4F86-97D3-6DFDCF855C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44" id="{E3F6A344-07B6-4BE8-8073-66F4A2FBE2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43" id="{69D2908A-94FC-4B5B-AF8C-B51F729C2B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42" id="{E0490106-7D09-4888-B590-ECD6D39398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41" id="{FBF6EE89-2103-469D-A8EB-E4CB5DF607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Y35</xm:sqref>
        </x14:conditionalFormatting>
        <x14:conditionalFormatting xmlns:xm="http://schemas.microsoft.com/office/excel/2006/main">
          <x14:cfRule type="iconSet" priority="531" id="{C676CAF5-681D-4961-9A61-F5D1037DAF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32" id="{67B6E1DE-EE85-4EEF-9846-9105001FD5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33" id="{0759066D-A736-4BA5-908E-9D9951CCAC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34" id="{42031CED-DC94-4296-A7DF-C36AA3CA0C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35" id="{64152197-597B-4BA3-925C-E9AD97B6B0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30" id="{5E16E5D8-2D7A-4F81-8916-7B5D5412F0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Y36</xm:sqref>
        </x14:conditionalFormatting>
        <x14:conditionalFormatting xmlns:xm="http://schemas.microsoft.com/office/excel/2006/main">
          <x14:cfRule type="iconSet" priority="520" id="{812AEC6C-7BA8-4298-9FC7-3DE83C8975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9" id="{7E4E4C5E-85CF-45F0-B287-D65AD9DBA7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1" id="{7C87A9B3-3C2B-4697-B616-819046034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4" id="{C1752A2E-C60C-46CD-A66B-5DFB0A909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23" id="{64FCD1F0-6B63-4D6E-9044-FCA6E61C05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2" id="{42EB9063-0DC1-4DF1-B62B-9A2F9502EB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Y37</xm:sqref>
        </x14:conditionalFormatting>
        <x14:conditionalFormatting xmlns:xm="http://schemas.microsoft.com/office/excel/2006/main">
          <x14:cfRule type="iconSet" priority="513" id="{CF46085A-0F04-4FEB-8830-EB9BDF3C65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08" id="{67642BDD-0CEC-4071-BA3B-120503813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2" id="{60D5C53E-878D-4AE8-A1E8-792C0AB18A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1" id="{B0CE4FFC-FC57-40F6-8E2A-4967D89BDE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0" id="{884D89AF-9CFC-4B4E-8C25-72670B700C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9" id="{205DECA3-39DC-4EFA-94A0-78B0C6B44E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Y38</xm:sqref>
        </x14:conditionalFormatting>
        <x14:conditionalFormatting xmlns:xm="http://schemas.microsoft.com/office/excel/2006/main">
          <x14:cfRule type="iconSet" priority="498" id="{799502E6-F2EC-4671-A094-6C3B9AE2CB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7" id="{36FDD181-C425-408B-8350-4F5442FD23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1" id="{FAE84346-0040-44EF-B82E-797244A42D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90" id="{43DA5374-2ED7-4CB1-A52E-8EC28F8437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9" id="{D26464F6-9E0A-4C7E-BD11-7CD4ED2334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8" id="{C4F928A3-B827-48F8-AA01-E83F244EA0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7" id="{373B1613-4ABB-493F-B5EE-3033F44FEB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6" id="{947BAC54-807A-4E70-ABB2-DE00653D31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2" id="{243F760B-08BA-4823-87D2-E5E99C75A9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01" id="{396D7737-E088-4CEB-9DBC-34C6353D3C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0" id="{ABAE7078-EB0C-497E-9540-237421EF8F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9" id="{D221CE18-100B-467D-AB6B-30B9A67FF4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Y39</xm:sqref>
        </x14:conditionalFormatting>
        <x14:conditionalFormatting xmlns:xm="http://schemas.microsoft.com/office/excel/2006/main">
          <x14:cfRule type="iconSet" priority="1017" id="{C091F8D8-9CDE-4468-B020-A2F4F56F9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Y13:AC13</xm:sqref>
        </x14:conditionalFormatting>
        <x14:conditionalFormatting xmlns:xm="http://schemas.microsoft.com/office/excel/2006/main">
          <x14:cfRule type="iconSet" priority="1011" id="{457FA99F-C6C3-48FA-904E-D1297FFD67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Y15:AC15</xm:sqref>
        </x14:conditionalFormatting>
        <x14:conditionalFormatting xmlns:xm="http://schemas.microsoft.com/office/excel/2006/main">
          <x14:cfRule type="iconSet" priority="1538" id="{7EA9EC55-C66C-4053-8E4C-729AE9C0C4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Y23:AC23</xm:sqref>
        </x14:conditionalFormatting>
        <x14:conditionalFormatting xmlns:xm="http://schemas.microsoft.com/office/excel/2006/main">
          <x14:cfRule type="iconSet" priority="479" id="{D81069B0-7F9B-4B6D-BDF3-D1C7023D51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78" id="{552B4FCE-3E75-42E7-942B-3B4D8FA129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77" id="{DB2BDA5A-8948-47E6-86F9-E587967585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0" id="{4299280F-1755-4ED2-AF31-9C249C2B09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76" id="{F9CB07B9-8804-41B3-8713-0C7F1ED284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75" id="{8E286A95-042E-4F45-86EC-AA1ACFA33A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Z12</xm:sqref>
        </x14:conditionalFormatting>
        <x14:conditionalFormatting xmlns:xm="http://schemas.microsoft.com/office/excel/2006/main">
          <x14:cfRule type="iconSet" priority="431" id="{3E6B0001-369D-4D83-9636-EB12134A8C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2" id="{F9FD96EF-DE7E-46D9-B65C-3574A1FFE6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3" id="{36EB8DAD-DD65-40BD-BC56-04BDF95C55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4" id="{3A7051E4-01AD-4472-9B38-2604660BBB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5" id="{AB595798-B753-4953-9E24-751F90DFC3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6" id="{F0EA5297-6F6B-422F-AE2A-4CDD226F8F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Z14</xm:sqref>
        </x14:conditionalFormatting>
        <x14:conditionalFormatting xmlns:xm="http://schemas.microsoft.com/office/excel/2006/main">
          <x14:cfRule type="iconSet" priority="354" id="{8B19D7DC-8A44-420B-84D5-8F749975A2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5" id="{F69FDF42-CE41-4288-9C16-9A98021674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6" id="{583237EF-1878-446E-A79E-4EC6F03D26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8" id="{F3D9D04C-DE3B-48D9-85BB-B4F3903BE0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7" id="{B408BDC5-6F91-4B7C-ADB9-A9F61F1450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9" id="{6E54A7BA-4F30-45D4-AE30-1CE72E6523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Z16</xm:sqref>
        </x14:conditionalFormatting>
        <x14:conditionalFormatting xmlns:xm="http://schemas.microsoft.com/office/excel/2006/main">
          <x14:cfRule type="iconSet" priority="333" id="{738F2460-46DD-4A4A-AAD2-7AAC22A3A7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2" id="{7C37D385-E88A-4060-B5C1-8CFBF4F766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7" id="{2323E311-C962-4A4E-A27E-A723E9DAC7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36" id="{2AADCC47-AB74-4580-8A65-2B06D68908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5" id="{AE77C160-19A9-40D0-BDED-335904D5EA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4" id="{3DBBFC03-733A-4B8B-9238-AAC80E4FA1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Z18</xm:sqref>
        </x14:conditionalFormatting>
        <x14:conditionalFormatting xmlns:xm="http://schemas.microsoft.com/office/excel/2006/main">
          <x14:cfRule type="iconSet" priority="323" id="{C36AA322-6D62-4E36-9FE6-F3C84653F4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4" id="{04F948F9-38E6-46B4-BDBC-EF2B70EDF8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6" id="{A48175FE-45BE-424E-A6A1-C504EA5C3B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25" id="{FEE02172-66CB-4EB3-95A9-F8C8924E33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1" id="{29F92703-7ED1-46F7-88AA-A1A8ED898C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2" id="{A10F2AFB-F74D-48D5-B845-CCAE7D4A04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Z19</xm:sqref>
        </x14:conditionalFormatting>
        <x14:conditionalFormatting xmlns:xm="http://schemas.microsoft.com/office/excel/2006/main">
          <x14:cfRule type="iconSet" priority="310" id="{160AF611-B068-4F32-9E7D-9C91F38023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5" id="{92BB6B6E-00C9-4E25-BFE9-A4681A2EBF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14" id="{36C99029-D6B8-4B24-8D5C-580B7B1691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1" id="{552D9150-04D6-451E-9D56-EDDC4BB492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3" id="{08256FC1-ABFF-4376-82AE-FEC7146C55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2" id="{3838CEB3-ABA5-4935-B06D-5C152EBFED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Z20</xm:sqref>
        </x14:conditionalFormatting>
        <x14:conditionalFormatting xmlns:xm="http://schemas.microsoft.com/office/excel/2006/main">
          <x14:cfRule type="iconSet" priority="344" id="{9EDD9D87-C63A-422C-904B-919B0C8A16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5" id="{01CFE754-ED2E-4737-87ED-C7D5775C92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6" id="{08CEC464-8A1F-4C8B-AAA7-1D8603C6A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7" id="{FF807B1A-EF5A-4356-B207-BFE3774C46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8" id="{DB34F53D-7D60-45E8-86F4-CD139E729E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43" id="{F0873080-F28F-49CA-971B-413426B5A0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Z17:AC17</xm:sqref>
        </x14:conditionalFormatting>
        <x14:conditionalFormatting xmlns:xm="http://schemas.microsoft.com/office/excel/2006/main">
          <x14:cfRule type="iconSet" priority="301" id="{3B35F683-99CF-4678-8F6B-49672AC67F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3" id="{65B55FA5-5C8D-4DB8-9B65-1E40161051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2" id="{259C4C4A-F65D-4E20-89C5-04F30290D5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4" id="{548E9B06-6A65-4FE1-BB07-13CD7E3519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00" id="{2DF9DF82-C6ED-491F-9010-050615FF35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9" id="{D287878C-5436-41D0-B83E-C84725DB5A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Z18:AC18</xm:sqref>
        </x14:conditionalFormatting>
        <x14:conditionalFormatting xmlns:xm="http://schemas.microsoft.com/office/excel/2006/main">
          <x14:cfRule type="iconSet" priority="291" id="{B7B8D0CD-3CE2-4627-980A-2E4F094D25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0" id="{DC59F7B6-E012-421C-955A-5599B952C0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9" id="{BCBCAE9D-900F-4C65-9D72-B42B31ED36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8" id="{FBCCCE80-4CBF-4DE4-9BA0-8B942BE6E4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3" id="{5BCA09C9-259A-404B-94FD-0E9A5D24F5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92" id="{20B3C070-5717-4F89-A8BB-ED65238D91A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Z19:AC19</xm:sqref>
        </x14:conditionalFormatting>
        <x14:conditionalFormatting xmlns:xm="http://schemas.microsoft.com/office/excel/2006/main">
          <x14:cfRule type="iconSet" priority="278" id="{2BC8C293-7C50-40A3-854E-D3DED8884E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7" id="{4E1DBFF7-6674-48DC-90A9-1CFDF8F687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9" id="{8C41BE4F-B7B3-45CC-9042-B57E2380FD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0" id="{0B67C490-E8A4-4C89-B6C8-F747A287BF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1" id="{D9D07E7E-5DDF-4E22-A4F6-95048E591C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2" id="{31ACC20A-3128-49B8-BF20-3A7FA9E23C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Z20:AC20</xm:sqref>
        </x14:conditionalFormatting>
        <x14:conditionalFormatting xmlns:xm="http://schemas.microsoft.com/office/excel/2006/main">
          <x14:cfRule type="iconSet" priority="271" id="{A6BF104D-EED3-48C1-ABA7-09A8A1328B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70" id="{C03A6E0C-883E-4ABD-9020-DEBFFA0C22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8" id="{9142947C-0C41-43B2-AB7E-B75B7A2992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7" id="{AD7A08E6-9B76-4964-AB39-6F290F3591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6" id="{59C3E3C0-99B3-4158-8751-6D89075661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9" id="{C9EA4FC5-C0D1-4F9B-9656-AE321E1680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Z21:AC21</xm:sqref>
        </x14:conditionalFormatting>
        <x14:conditionalFormatting xmlns:xm="http://schemas.microsoft.com/office/excel/2006/main">
          <x14:cfRule type="iconSet" priority="260" id="{B9F45FFC-DC39-4462-BBFF-1F48E99033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59" id="{5B1979B6-CE82-4758-86BB-1F0F1F9F96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5" id="{A46C161C-CBB0-4BFC-9288-BF8A752B8C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6" id="{BC16FB2D-EC7D-4E19-9FE4-94EC75F4BF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7" id="{52D9E539-21FE-47FC-BC2A-6870D5D479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8" id="{0A6B104B-65AA-430F-B41E-1AA24F3A48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Z22:AC22</xm:sqref>
        </x14:conditionalFormatting>
        <x14:conditionalFormatting xmlns:xm="http://schemas.microsoft.com/office/excel/2006/main">
          <x14:cfRule type="iconSet" priority="248" id="{607909D6-4226-4BB1-9553-7182FDC9FF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9" id="{2BAFB958-AFD1-4AB5-A0E1-C4B3502567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47" id="{ECE37CFF-0B9A-431C-ABE5-03240C03FC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3" id="{C1C36029-C76F-48AB-9140-922FCE8745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4" id="{16753AF8-F2A9-4020-9776-5B5DAE65DA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5" id="{114A86A9-BDD4-4BBC-A1A9-FF3ECA801F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6" id="{F26A7D88-735F-4194-8A46-4E0018F68F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7" id="{1ABA0AF8-1061-4FE0-B0DA-218CA1ACB6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8" id="{82E7876D-54AC-401B-8998-052B4B8650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44" id="{5F983719-15E4-4E1D-A34B-0486038D16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5" id="{9ABE2F35-F4B3-400B-8EC8-AD8B6057E8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6" id="{0408F114-AFB9-4C4C-90AF-92114CAE5E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Z24:AC24</xm:sqref>
        </x14:conditionalFormatting>
        <x14:conditionalFormatting xmlns:xm="http://schemas.microsoft.com/office/excel/2006/main">
          <x14:cfRule type="iconSet" priority="211" id="{CEE8E046-CE50-4E89-B07C-6CD9FEBCA1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3" id="{7314B131-97B1-4B7A-B10C-72459F295A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4" id="{DDD066F1-90A0-4760-92FC-4090A89581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5" id="{84E3E198-7BB1-487F-9D17-370EFC1AC9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6" id="{CB434B53-2096-46ED-94DB-5CD0CD3000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12" id="{2EA6CBD2-9C66-408E-84C7-4ABF315137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3" id="{E2101226-A77E-4CE4-B93F-85F75C9279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4" id="{3277D113-ADB8-438D-A9DB-C71B4F6D1E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5" id="{F4C5BFAA-D59E-4D55-9FAB-E1C4B4F017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2" id="{7DA679FA-E2A6-4485-B091-4B6D76E725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7" id="{884B9ABA-0479-4E50-A5A5-F1D666F462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26" id="{4ACBDED8-005A-4998-B46E-71B187C141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Z25:AC25</xm:sqref>
        </x14:conditionalFormatting>
        <x14:conditionalFormatting xmlns:xm="http://schemas.microsoft.com/office/excel/2006/main">
          <x14:cfRule type="iconSet" priority="193" id="{837C4EB9-5629-4E4D-8B0E-A3AA2614D5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4" id="{C2DBB5C6-8554-4997-9FF3-5053A877EF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00" id="{B775618E-B6BF-4719-ACC3-FB28AE1D7A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0" id="{A977090D-957F-4D7B-9AB8-B0D1427845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5" id="{96D25C1A-0457-4CCF-89FA-E97C7095AC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04" id="{CFA19995-DC18-4DC8-8B13-8CBC0E0DD6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3" id="{88EAE0FA-FCE8-4E80-B568-45E3B70B8B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2" id="{626AF4B4-1E23-4892-9C24-D80DD6F04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1" id="{1773065E-DE71-4B72-B966-1166F97930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9" id="{255C3FE1-1EA8-40DA-B94D-143766E53D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1" id="{E285B144-CFFE-462E-87AD-0E0676800D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2" id="{97B2B2AA-55E6-4AE3-B6E8-66636E740D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Z26:AC26</xm:sqref>
        </x14:conditionalFormatting>
        <x14:conditionalFormatting xmlns:xm="http://schemas.microsoft.com/office/excel/2006/main">
          <x14:cfRule type="iconSet" priority="169" id="{7ABB4F80-EC88-414C-87CD-DF9196481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2" id="{911EE28E-2805-49E8-BAFB-E94128F7C3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70" id="{29427E4B-022C-4C4D-B3B1-F35EFC9636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1" id="{D3315548-C3BD-4AE2-A985-848A1DEE16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8" id="{84F9BE4E-5537-4AE0-A58A-A645063902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0" id="{D38BC1A1-979C-4D7C-93DF-4283A91043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7" id="{99453C38-F7FA-4984-A21A-7BE18A6C73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2" id="{3E7E3FF7-7C34-4505-B492-6D7DACC96C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3" id="{14B1E981-AD48-450A-9C2F-59BD5E0460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71" id="{2C24111A-9528-49C2-87DB-B13C068EB9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9" id="{7CCDEA5F-A1E3-43D2-91CE-A1F039AF57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8" id="{F762D7B4-6C55-45F7-8339-C3EA0D15DA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Z27:AC27</xm:sqref>
        </x14:conditionalFormatting>
        <x14:conditionalFormatting xmlns:xm="http://schemas.microsoft.com/office/excel/2006/main">
          <x14:cfRule type="iconSet" priority="150" id="{4712F52B-ADBB-417D-9569-A80A07B7A6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9" id="{9490C316-7370-42F9-976A-A8EA3FE5A1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7" id="{02A38D7B-D3CA-4DDD-9175-04D896EF89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" id="{A4A1624B-8E73-494F-974A-1802C116BA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" id="{3C1B0AE3-4B0A-4B30-AF7C-D96033B2DC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5" id="{02918BC0-09BB-49DD-BCA3-18C7EDA8A1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1" id="{DAFB6C60-9EF9-4DA0-BE2C-2013AFABFA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60" id="{FBBBFD92-A370-4A23-BE98-F207D04739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9" id="{EDA6AF64-6355-4DBA-BAC5-B3E81BFD98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8" id="{58579C5F-8227-49C0-B034-4C153F4604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7" id="{ED834DCD-9F3B-4220-987A-9066A900F3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6" id="{CE089470-08A4-4CFE-8308-5BE57EFE70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Z28:AC28</xm:sqref>
        </x14:conditionalFormatting>
        <x14:conditionalFormatting xmlns:xm="http://schemas.microsoft.com/office/excel/2006/main">
          <x14:cfRule type="iconSet" priority="128" id="{67649CF3-8669-4DEC-94BE-73EC80CD12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27" id="{D08D3707-4026-4723-BBEE-9D9AB2AC0D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" id="{6D45914D-C4F2-4676-A50B-1A65AAF014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" id="{342E4288-776A-4777-9B83-97BFF3CD6E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" id="{4E0AEF78-0D50-4F77-A667-A30E6140EC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" id="{16CA9AE3-236B-4A40-86B2-29C0CF272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9" id="{F599003B-F434-4EBA-A940-4F3854EB42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8" id="{00748D7D-50C0-4A3E-9CB7-99C6546024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" id="{8016023E-16B2-4B56-BA91-B175D5D5CF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6" id="{835F1758-67B9-45B9-BB86-AB93062446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" id="{E6AC8A3F-4F01-46D2-ABC6-9B32398343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4" id="{E4579754-D90E-420E-BD07-2726D4A639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Z29:AC29</xm:sqref>
        </x14:conditionalFormatting>
        <x14:conditionalFormatting xmlns:xm="http://schemas.microsoft.com/office/excel/2006/main">
          <x14:cfRule type="iconSet" priority="101" id="{529063EF-9786-424C-A118-79DE03F3CD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6" id="{E2188256-FF04-4523-8540-886D2FB0B0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2" id="{CD304683-433B-4E3F-84F3-52491DB74F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3" id="{DEF9A46E-7997-4F66-91D6-35DA97A4C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" id="{CC088448-7478-4770-A229-06A7D6F470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7" id="{D0D7B014-86C4-4235-816F-01DE8277C7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6" id="{EAAF383F-3374-41B2-8560-81C78A045A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5" id="{26A24369-5A4C-4653-BE7B-4FD1F66117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" id="{ECB96918-205D-4DCF-A101-CFF285356B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3" id="{9EC878E8-CD0B-4BE1-B4A6-6FFEE3D0B2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" id="{B02D3063-981D-457E-87D0-258B792C42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4" id="{EDD38CF6-E8BD-4245-A019-2906D848A2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Z30:AC30</xm:sqref>
        </x14:conditionalFormatting>
        <x14:conditionalFormatting xmlns:xm="http://schemas.microsoft.com/office/excel/2006/main">
          <x14:cfRule type="iconSet" priority="95" id="{22F6E822-1364-400E-8EE8-6BCF2F5E83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94" id="{C5CB975B-A598-41A6-84BC-85EA45563F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3" id="{2829673F-D3C8-4490-91E7-3B904D362C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" id="{A30A531B-5E97-4EFC-B2D9-DE08A9CDF2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" id="{39B0E42F-FE07-4DA9-BDE6-34A3D91386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" id="{37DA6C26-AE11-4EF7-84BC-A041DC015A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4" id="{ACD4D599-9EF0-4C01-9CFA-7B1AB49DF6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3" id="{4F01059E-614D-43EA-B995-5188E921C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" id="{9257199F-1A4B-4FAA-A556-CED7E2185B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1" id="{223B5272-46D9-457A-9FEE-68E4E9FBA0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" id="{9897E534-7B62-42F1-B0CA-FAC0DA5956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9" id="{FC6A2CD1-3CAD-46E6-A8DA-F8D4B90D06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Z31:AC31</xm:sqref>
        </x14:conditionalFormatting>
        <x14:conditionalFormatting xmlns:xm="http://schemas.microsoft.com/office/excel/2006/main">
          <x14:cfRule type="iconSet" priority="57" id="{F88B179C-96BB-4391-8232-A23F927F15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" id="{072BC9C9-6AD6-416B-B14E-8DE687A9DA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2" id="{F0F03F31-A3B0-4234-8F19-C7D8F7135F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1" id="{E9B3FD5F-7584-4B6A-8045-C3CD92A298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" id="{7A0F92C0-E55B-4938-BD89-F0EF8C4BD1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9" id="{5C521150-FDBD-408B-B6D1-AF86CFA2C6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8" id="{05D8AE35-31A3-4E54-884E-8B3B55F4E1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" id="{5CD01DD7-A6A8-4F29-A133-4E717B9685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61" id="{0486C599-D9C5-4168-B53D-674E147C63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5178E6BA-1BE9-42DC-9305-8F581AC6F9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9" id="{3FEADBDE-6D06-4F5E-877B-833DACFAD4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" id="{6E9F4836-255B-4E6A-84EA-F2F1FAA71D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Z32:AC32</xm:sqref>
        </x14:conditionalFormatting>
        <x14:conditionalFormatting xmlns:xm="http://schemas.microsoft.com/office/excel/2006/main">
          <x14:cfRule type="iconSet" priority="38" id="{20513AED-F8E3-4CA7-B6BF-B992A0A859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7" id="{01268E07-AF42-4852-BFDD-568618FAC1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" id="{ADC032E8-76D1-42C3-A572-5903015708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" id="{437AE184-D457-4A32-9B8E-B6B9BF8182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" id="{44B73197-4BF2-41A4-8DE6-70D2DB7AB7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" id="{FE7C5AAD-48BB-4520-BE85-F8C2C08C1E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9" id="{3BA72046-A643-4103-97D9-79A53865E6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" id="{1B6BD531-E7D0-4EF2-A2D2-81820CA5EC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6" id="{07B8D160-1BC5-47C5-AF2E-201075B111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" id="{A61AE3BF-54F0-4CF8-B065-ED5EE9B8F5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" id="{5B4B78F4-3135-4302-88EA-1684D889A4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478D9269-FDB2-429A-9436-1D119EFCF5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Z33:AC33</xm:sqref>
        </x14:conditionalFormatting>
        <x14:conditionalFormatting xmlns:xm="http://schemas.microsoft.com/office/excel/2006/main">
          <x14:cfRule type="iconSet" priority="17" id="{3BF9325E-9970-44FA-9388-3A4DC4B0A4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6" id="{888390D0-9D24-424C-BC89-B1E225B42A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" id="{302E1469-3BA0-432E-B7AD-E244FCC7A5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" id="{EE5EEAD3-F66E-4184-9D75-9A53C229C5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" id="{18EB2593-46D9-4165-B09B-1FDA187529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" id="{194E8C1B-77EC-495B-9D98-0100F66580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" id="{BBE45B25-16C9-4E47-BE9A-15FC09858F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" id="{BE1F421A-AA19-412C-A5F7-00555D3121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" id="{2D9CB882-F42F-40F0-B6CA-55E011C4D5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" id="{32491D9B-1697-4768-A2AA-1CFD45F06C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" id="{6375838A-C1A4-4807-BE1C-7776E736FE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" id="{E524F1FB-C97C-40CE-BB09-46E6326613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Z34:AC39</xm:sqref>
        </x14:conditionalFormatting>
        <x14:conditionalFormatting xmlns:xm="http://schemas.microsoft.com/office/excel/2006/main">
          <x14:cfRule type="iconSet" priority="469" id="{5FD283CE-077A-41EF-80DC-4D1F820354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66" id="{C8B1284B-F423-46FA-8C12-CDE7DE657E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8" id="{8794629E-3C78-4DC1-85F3-8ACFF27AEF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5" id="{8EE692DE-105C-4AB8-BDB1-2C30F18CDB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4" id="{E3221EB6-D060-48A9-8FC2-FEF829B464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7" id="{97E2ECCC-5016-471B-8F43-150E63673E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AA12</xm:sqref>
        </x14:conditionalFormatting>
        <x14:conditionalFormatting xmlns:xm="http://schemas.microsoft.com/office/excel/2006/main">
          <x14:cfRule type="iconSet" priority="425" id="{7D3BC1E8-4A2B-4AF6-B630-9C80877DE0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24" id="{37320F6E-D856-4253-9AA7-CF97E0C1BD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3" id="{5D827DC9-0FB1-4D9F-A43F-7254023E48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1" id="{DE066E21-6D58-4861-9ACD-8E6FBCC352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0" id="{C6F80E3F-3D59-4F04-8BF2-ABE71A899A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2" id="{6F43E2FB-0F19-48C4-B072-8A96B1147C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AA14</xm:sqref>
        </x14:conditionalFormatting>
        <x14:conditionalFormatting xmlns:xm="http://schemas.microsoft.com/office/excel/2006/main">
          <x14:cfRule type="iconSet" priority="369" id="{4F5D0251-3D4F-423C-972C-F17A56CE31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0" id="{D5660F19-58D7-4500-9A5A-9D04BA7F4A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65" id="{3003110D-E335-4272-82FC-553DB4AFD2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6" id="{74BAD977-570C-4DD9-8D70-D94F368744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7" id="{7711A946-2A8B-4ABC-9103-E92677F5F8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8" id="{9C45801B-DF16-425C-9627-11F38162E6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AA16</xm:sqref>
        </x14:conditionalFormatting>
        <x14:conditionalFormatting xmlns:xm="http://schemas.microsoft.com/office/excel/2006/main">
          <x14:cfRule type="iconSet" priority="28" id="{19675436-0917-4B7B-8BD5-190D3BBC31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" id="{87D4D16D-FBC0-4C39-AB99-1D1DF992FE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" id="{9FA76BA3-18BB-4AD8-B6E3-A6A29BA3FE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" id="{0018C1DB-A261-4041-A9AF-117EF678BD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" id="{C0DA2A48-EB83-4C97-B374-D56597D46D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" id="{76352FCD-B7A5-43A6-B607-C51836A5AD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" id="{3DD7E619-EB35-4886-AE55-7EF54F9A00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AA31</xm:sqref>
        </x14:conditionalFormatting>
        <x14:conditionalFormatting xmlns:xm="http://schemas.microsoft.com/office/excel/2006/main">
          <x14:cfRule type="iconSet" priority="456" id="{110BFB40-A8CF-4348-AC61-6643872C84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57" id="{C4768C25-8AB9-4F3F-A798-51E0649D4A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58" id="{0B27BE35-2426-46F0-B254-0CA045725C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53" id="{292072FA-580E-4D5A-8422-2B7475D8A2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54" id="{B043BB36-D2D2-4A66-8F21-3F409632D2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55" id="{F78B94BC-0691-40BC-8784-AB8394FD4C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AB12</xm:sqref>
        </x14:conditionalFormatting>
        <x14:conditionalFormatting xmlns:xm="http://schemas.microsoft.com/office/excel/2006/main">
          <x14:cfRule type="iconSet" priority="413" id="{591B0710-B049-4759-ADCE-B69B430EDB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14" id="{43203429-0391-4660-89BF-CE15E1C6CF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12" id="{100B3CF8-6378-44E7-9373-E8E1B8DB74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9" id="{B65B6629-7E74-44AE-8728-FEFDF339D6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10" id="{C229972A-9E82-4954-932F-BEC5ECA633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11" id="{C7442716-C8F8-4809-B4B9-74E9D367C7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AB14</xm:sqref>
        </x14:conditionalFormatting>
        <x14:conditionalFormatting xmlns:xm="http://schemas.microsoft.com/office/excel/2006/main">
          <x14:cfRule type="iconSet" priority="379" id="{EEF6E0E0-2609-4042-BD53-B3A0EB5D5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1" id="{0BB1DF80-BD37-46F5-A4E9-49B5E67FC9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80" id="{BAD5616A-B636-4305-9281-B132EB157D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6" id="{68004FB1-077D-4E68-9BA8-3747CA45EC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7" id="{E02B1C08-DB33-41C7-BC58-42B99DF8AD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8" id="{E2DC3984-E03C-4182-90AD-081E9CC3B9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AB16</xm:sqref>
        </x14:conditionalFormatting>
        <x14:conditionalFormatting xmlns:xm="http://schemas.microsoft.com/office/excel/2006/main">
          <x14:cfRule type="iconSet" priority="447" id="{80C81875-F57F-4FA1-B712-3DB03818CA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46" id="{47DE8F3B-F395-4BD0-A76B-24346A60EF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5" id="{ADB49335-BA18-4093-B979-C435814A0D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4" id="{E6A0785E-1296-48E4-A506-C8F8D734C9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3" id="{FC3674F8-BD20-4224-8BCA-FD6578177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2" id="{0E23D193-C187-400E-82EB-2AD38C06E7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AC12</xm:sqref>
        </x14:conditionalFormatting>
        <x14:conditionalFormatting xmlns:xm="http://schemas.microsoft.com/office/excel/2006/main">
          <x14:cfRule type="iconSet" priority="399" id="{C7AF7588-A54F-431B-B131-332F9BA57A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0" id="{6788E36E-9517-4073-9654-1027333C60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1" id="{932BF8F8-1A91-49D4-B236-FA6204C1FD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2" id="{51AB6D0B-9074-481D-B7B8-9B2B12671B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3" id="{2470ACDE-05B5-4A54-BF34-0E83EB0B86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98" id="{EFC3E964-8E4E-4AE6-9377-8CF8A04C5D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AC14</xm:sqref>
        </x14:conditionalFormatting>
        <x14:conditionalFormatting xmlns:xm="http://schemas.microsoft.com/office/excel/2006/main">
          <x14:cfRule type="iconSet" priority="390" id="{3231B0EB-B567-43C1-AB0D-DCD226B96F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7" id="{C08A4B58-A02C-4D35-AE37-83E32C47AF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8" id="{84BB6188-7543-4EC8-83FF-1EDB81468E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9" id="{07806C18-F52C-4834-AF00-9DC11BF7B5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91" id="{18B7CA56-DDF3-4802-9187-3AC8BBC1C5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92" id="{BFE8D7DB-1A5E-45B6-A0D2-5B2B9C8232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AC16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5F67-6400-4205-8694-932D13AEAF08}">
  <sheetPr codeName="Hoja8"/>
  <dimension ref="A1:AO39"/>
  <sheetViews>
    <sheetView tabSelected="1" topLeftCell="A8" zoomScale="90" zoomScaleNormal="90" workbookViewId="0">
      <selection activeCell="K20" sqref="K20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6" width="3" customWidth="1"/>
    <col min="7" max="7" width="3.21875" bestFit="1" customWidth="1"/>
    <col min="8" max="8" width="3.88671875" customWidth="1"/>
    <col min="9" max="12" width="3.21875" bestFit="1" customWidth="1"/>
    <col min="13" max="25" width="3.21875" customWidth="1"/>
    <col min="26" max="26" width="2.886718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70"/>
      <c r="AE1" s="74"/>
    </row>
    <row r="2" spans="1:41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70"/>
      <c r="AE2" s="74"/>
    </row>
    <row r="3" spans="1:41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70"/>
      <c r="AE3" s="74"/>
    </row>
    <row r="4" spans="1:41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70"/>
      <c r="AE4" s="74"/>
    </row>
    <row r="5" spans="1:41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70"/>
      <c r="AE5" s="74"/>
    </row>
    <row r="6" spans="1:41" x14ac:dyDescent="0.3">
      <c r="A6" s="63"/>
      <c r="B6" s="70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68" t="s">
        <v>16</v>
      </c>
      <c r="AB6" s="68"/>
      <c r="AC6" s="68"/>
      <c r="AD6" s="70"/>
      <c r="AE6" s="74"/>
    </row>
    <row r="7" spans="1:41" x14ac:dyDescent="0.3">
      <c r="A7" s="63"/>
      <c r="B7" s="70"/>
      <c r="C7" s="80" t="s">
        <v>18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68"/>
      <c r="AB7" s="68"/>
      <c r="AC7" s="68"/>
      <c r="AD7" s="70"/>
      <c r="AE7" s="74"/>
    </row>
    <row r="8" spans="1:41" x14ac:dyDescent="0.3">
      <c r="A8" s="63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4"/>
    </row>
    <row r="9" spans="1:41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9"/>
      <c r="Z9" s="56"/>
      <c r="AA9" s="56"/>
      <c r="AB9" s="56"/>
      <c r="AC9" s="56"/>
      <c r="AD9" s="56"/>
      <c r="AE9" s="75"/>
    </row>
    <row r="10" spans="1:41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67"/>
      <c r="Z10" s="67"/>
      <c r="AA10" s="67" t="s">
        <v>22</v>
      </c>
      <c r="AB10" s="67"/>
      <c r="AC10" s="64"/>
      <c r="AD10" s="76"/>
      <c r="AE10" s="77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3</v>
      </c>
      <c r="E11" s="1">
        <v>4</v>
      </c>
      <c r="F11" s="1">
        <v>5</v>
      </c>
      <c r="G11" s="1">
        <v>6</v>
      </c>
      <c r="H11" s="60"/>
      <c r="I11" s="1">
        <v>10</v>
      </c>
      <c r="J11" s="1">
        <v>11</v>
      </c>
      <c r="K11" s="1">
        <v>12</v>
      </c>
      <c r="L11" s="1">
        <v>13</v>
      </c>
      <c r="M11" s="1">
        <v>14</v>
      </c>
      <c r="N11" s="60"/>
      <c r="O11" s="1">
        <v>18</v>
      </c>
      <c r="P11" s="1">
        <v>19</v>
      </c>
      <c r="Q11" s="1">
        <v>20</v>
      </c>
      <c r="R11" s="1">
        <v>21</v>
      </c>
      <c r="S11" s="60"/>
      <c r="T11" s="1">
        <v>24</v>
      </c>
      <c r="U11" s="1">
        <v>25</v>
      </c>
      <c r="V11" s="1">
        <v>26</v>
      </c>
      <c r="W11" s="1">
        <v>27</v>
      </c>
      <c r="X11" s="1">
        <v>28</v>
      </c>
      <c r="Y11" s="60"/>
      <c r="Z11" s="1">
        <v>31</v>
      </c>
      <c r="AA11" s="24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71" t="s">
        <v>9</v>
      </c>
      <c r="AI11" s="72"/>
      <c r="AJ11" s="72"/>
      <c r="AK11" s="72"/>
      <c r="AL11" s="72"/>
      <c r="AM11" s="72"/>
      <c r="AN11" s="72"/>
      <c r="AO11" s="73"/>
    </row>
    <row r="12" spans="1:41" s="3" customFormat="1" x14ac:dyDescent="0.3">
      <c r="A12" s="6">
        <v>1</v>
      </c>
      <c r="B12" s="47">
        <v>6</v>
      </c>
      <c r="C12" s="53" t="s">
        <v>57</v>
      </c>
      <c r="D12" s="1">
        <v>1</v>
      </c>
      <c r="E12" s="1">
        <v>1</v>
      </c>
      <c r="F12" s="1">
        <v>1</v>
      </c>
      <c r="G12" s="1">
        <v>1</v>
      </c>
      <c r="H12" s="63"/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63"/>
      <c r="O12" s="1"/>
      <c r="P12" s="1"/>
      <c r="Q12" s="1"/>
      <c r="R12" s="1"/>
      <c r="S12" s="63"/>
      <c r="T12" s="1"/>
      <c r="U12" s="1"/>
      <c r="V12" s="1"/>
      <c r="W12" s="1"/>
      <c r="X12" s="1"/>
      <c r="Y12" s="63"/>
      <c r="Z12" s="1"/>
      <c r="AA12" s="25">
        <f t="shared" ref="AA12:AA36" si="0">COUNTIF(D12:Y12,1)</f>
        <v>9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0.47368421052631576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x14ac:dyDescent="0.3">
      <c r="A13" s="6">
        <v>2</v>
      </c>
      <c r="B13" s="47">
        <v>6</v>
      </c>
      <c r="C13" s="53" t="s">
        <v>58</v>
      </c>
      <c r="D13" s="1">
        <v>0</v>
      </c>
      <c r="E13" s="1">
        <v>0</v>
      </c>
      <c r="F13" s="1">
        <v>0</v>
      </c>
      <c r="G13" s="1">
        <v>0</v>
      </c>
      <c r="H13" s="63"/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63"/>
      <c r="O13" s="1">
        <v>0</v>
      </c>
      <c r="P13" s="1">
        <v>0</v>
      </c>
      <c r="Q13" s="1">
        <v>0</v>
      </c>
      <c r="R13" s="1">
        <v>0</v>
      </c>
      <c r="S13" s="63"/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63"/>
      <c r="Z13" s="1"/>
      <c r="AA13" s="25">
        <f t="shared" si="0"/>
        <v>0</v>
      </c>
      <c r="AB13" s="4">
        <f t="shared" si="1"/>
        <v>18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0</v>
      </c>
      <c r="AH13" s="17"/>
      <c r="AI13" s="15">
        <v>0</v>
      </c>
      <c r="AJ13" s="3" t="s">
        <v>14</v>
      </c>
      <c r="AO13" s="18"/>
    </row>
    <row r="14" spans="1:41" s="3" customFormat="1" x14ac:dyDescent="0.3">
      <c r="A14" s="6">
        <v>3</v>
      </c>
      <c r="B14" s="47">
        <v>6</v>
      </c>
      <c r="C14" s="53" t="s">
        <v>59</v>
      </c>
      <c r="D14" s="1">
        <v>1</v>
      </c>
      <c r="E14" s="1">
        <v>1</v>
      </c>
      <c r="F14" s="1">
        <v>1</v>
      </c>
      <c r="G14" s="1">
        <v>1</v>
      </c>
      <c r="H14" s="63"/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63"/>
      <c r="O14" s="1"/>
      <c r="P14" s="1"/>
      <c r="Q14" s="1"/>
      <c r="R14" s="1"/>
      <c r="S14" s="63"/>
      <c r="T14" s="1"/>
      <c r="U14" s="1"/>
      <c r="V14" s="1"/>
      <c r="W14" s="1"/>
      <c r="X14" s="1"/>
      <c r="Y14" s="63"/>
      <c r="Z14" s="1"/>
      <c r="AA14" s="25">
        <f t="shared" si="0"/>
        <v>9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0.47368421052631576</v>
      </c>
      <c r="AH14" s="17"/>
      <c r="AI14" s="16" t="s">
        <v>11</v>
      </c>
      <c r="AJ14" s="3" t="s">
        <v>12</v>
      </c>
      <c r="AO14" s="18"/>
    </row>
    <row r="15" spans="1:41" ht="15" thickBot="1" x14ac:dyDescent="0.35">
      <c r="A15" s="6">
        <v>4</v>
      </c>
      <c r="B15" s="47">
        <v>7</v>
      </c>
      <c r="C15" s="53" t="s">
        <v>60</v>
      </c>
      <c r="D15" s="1">
        <v>0</v>
      </c>
      <c r="E15" s="1">
        <v>0</v>
      </c>
      <c r="F15" s="1">
        <v>0</v>
      </c>
      <c r="G15" s="1">
        <v>0</v>
      </c>
      <c r="H15" s="63"/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63"/>
      <c r="O15" s="1">
        <v>0</v>
      </c>
      <c r="P15" s="1">
        <v>0</v>
      </c>
      <c r="Q15" s="1">
        <v>0</v>
      </c>
      <c r="R15" s="1">
        <v>0</v>
      </c>
      <c r="S15" s="63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63"/>
      <c r="Z15" s="1"/>
      <c r="AA15" s="25">
        <f t="shared" si="0"/>
        <v>0</v>
      </c>
      <c r="AB15" s="4">
        <f t="shared" si="1"/>
        <v>18</v>
      </c>
      <c r="AC15" s="4">
        <f t="shared" si="2"/>
        <v>0</v>
      </c>
      <c r="AD15" s="4">
        <f t="shared" si="3"/>
        <v>0</v>
      </c>
      <c r="AE15" s="10">
        <f t="shared" si="4"/>
        <v>0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x14ac:dyDescent="0.3">
      <c r="A16" s="6">
        <v>5</v>
      </c>
      <c r="B16" s="47">
        <v>7</v>
      </c>
      <c r="C16" s="53" t="s">
        <v>61</v>
      </c>
      <c r="D16" s="1">
        <v>1</v>
      </c>
      <c r="E16" s="1">
        <v>1</v>
      </c>
      <c r="F16" s="1">
        <v>1</v>
      </c>
      <c r="G16" s="1">
        <v>1</v>
      </c>
      <c r="H16" s="63"/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63"/>
      <c r="O16" s="1"/>
      <c r="P16" s="1"/>
      <c r="Q16" s="1"/>
      <c r="R16" s="1"/>
      <c r="S16" s="63"/>
      <c r="T16" s="1"/>
      <c r="U16" s="1"/>
      <c r="V16" s="1"/>
      <c r="W16" s="1"/>
      <c r="X16" s="1"/>
      <c r="Y16" s="63"/>
      <c r="Z16" s="1"/>
      <c r="AA16" s="25">
        <f t="shared" si="0"/>
        <v>9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0.47368421052631576</v>
      </c>
      <c r="AI16" t="s">
        <v>50</v>
      </c>
      <c r="AJ16" s="3" t="s">
        <v>51</v>
      </c>
    </row>
    <row r="17" spans="1:39" x14ac:dyDescent="0.3">
      <c r="A17" s="6">
        <v>6</v>
      </c>
      <c r="B17" s="47">
        <v>7</v>
      </c>
      <c r="C17" s="53" t="s">
        <v>62</v>
      </c>
      <c r="D17" s="1">
        <v>1</v>
      </c>
      <c r="E17" s="1">
        <v>1</v>
      </c>
      <c r="F17" s="1">
        <v>1</v>
      </c>
      <c r="G17" s="1">
        <v>1</v>
      </c>
      <c r="H17" s="63"/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63"/>
      <c r="O17" s="1"/>
      <c r="P17" s="1"/>
      <c r="Q17" s="1"/>
      <c r="R17" s="1"/>
      <c r="S17" s="63"/>
      <c r="T17" s="1"/>
      <c r="U17" s="1"/>
      <c r="V17" s="1"/>
      <c r="W17" s="1"/>
      <c r="X17" s="1"/>
      <c r="Y17" s="63"/>
      <c r="Z17" s="1"/>
      <c r="AA17" s="25">
        <f t="shared" si="0"/>
        <v>9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0.47368421052631576</v>
      </c>
    </row>
    <row r="18" spans="1:39" x14ac:dyDescent="0.3">
      <c r="A18" s="6">
        <v>7</v>
      </c>
      <c r="B18" s="47">
        <v>7</v>
      </c>
      <c r="C18" s="53" t="s">
        <v>63</v>
      </c>
      <c r="D18" s="1">
        <v>1</v>
      </c>
      <c r="E18" s="1">
        <v>1</v>
      </c>
      <c r="F18" s="1">
        <v>1</v>
      </c>
      <c r="G18" s="1">
        <v>1</v>
      </c>
      <c r="H18" s="63"/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63"/>
      <c r="O18" s="1"/>
      <c r="P18" s="1"/>
      <c r="Q18" s="1"/>
      <c r="R18" s="1"/>
      <c r="S18" s="63"/>
      <c r="T18" s="1"/>
      <c r="U18" s="1"/>
      <c r="V18" s="1"/>
      <c r="W18" s="1"/>
      <c r="X18" s="1"/>
      <c r="Y18" s="63"/>
      <c r="Z18" s="1"/>
      <c r="AA18" s="25">
        <f t="shared" si="0"/>
        <v>9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0.47368421052631576</v>
      </c>
      <c r="AJ18" s="8"/>
      <c r="AL18" s="3"/>
      <c r="AM18" s="3"/>
    </row>
    <row r="19" spans="1:39" x14ac:dyDescent="0.3">
      <c r="A19" s="6">
        <v>8</v>
      </c>
      <c r="B19" s="47">
        <v>7</v>
      </c>
      <c r="C19" s="53" t="s">
        <v>64</v>
      </c>
      <c r="D19" s="1">
        <v>1</v>
      </c>
      <c r="E19" s="1">
        <v>1</v>
      </c>
      <c r="F19" s="1">
        <v>1</v>
      </c>
      <c r="G19" s="1">
        <v>1</v>
      </c>
      <c r="H19" s="63"/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63"/>
      <c r="O19" s="1"/>
      <c r="P19" s="1"/>
      <c r="Q19" s="1"/>
      <c r="R19" s="1"/>
      <c r="S19" s="63"/>
      <c r="T19" s="1"/>
      <c r="U19" s="1"/>
      <c r="V19" s="1"/>
      <c r="W19" s="1"/>
      <c r="X19" s="1"/>
      <c r="Y19" s="63"/>
      <c r="Z19" s="1"/>
      <c r="AA19" s="25">
        <f t="shared" si="0"/>
        <v>9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0.47368421052631576</v>
      </c>
      <c r="AJ19" s="8"/>
    </row>
    <row r="20" spans="1:39" x14ac:dyDescent="0.3">
      <c r="A20" s="6">
        <v>9</v>
      </c>
      <c r="B20" s="47">
        <v>7</v>
      </c>
      <c r="C20" s="53" t="s">
        <v>65</v>
      </c>
      <c r="D20" s="1">
        <v>1</v>
      </c>
      <c r="E20" s="1">
        <v>1</v>
      </c>
      <c r="F20" s="1">
        <v>1</v>
      </c>
      <c r="G20" s="1">
        <v>1</v>
      </c>
      <c r="H20" s="63"/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63"/>
      <c r="O20" s="1"/>
      <c r="P20" s="1"/>
      <c r="Q20" s="1"/>
      <c r="R20" s="1"/>
      <c r="S20" s="63"/>
      <c r="T20" s="1"/>
      <c r="U20" s="1"/>
      <c r="V20" s="1"/>
      <c r="W20" s="1"/>
      <c r="X20" s="1"/>
      <c r="Y20" s="63"/>
      <c r="Z20" s="1"/>
      <c r="AA20" s="25">
        <f t="shared" si="0"/>
        <v>9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0.47368421052631576</v>
      </c>
      <c r="AJ20" s="8"/>
      <c r="AK20" s="3"/>
      <c r="AL20" s="3"/>
      <c r="AM20" s="3"/>
    </row>
    <row r="21" spans="1:39" x14ac:dyDescent="0.3">
      <c r="A21" s="6">
        <v>10</v>
      </c>
      <c r="B21" s="47">
        <v>7</v>
      </c>
      <c r="C21" s="53" t="s">
        <v>66</v>
      </c>
      <c r="D21" s="1">
        <v>1</v>
      </c>
      <c r="E21" s="1">
        <v>1</v>
      </c>
      <c r="F21" s="1">
        <v>1</v>
      </c>
      <c r="G21" s="1">
        <v>1</v>
      </c>
      <c r="H21" s="63"/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63"/>
      <c r="O21" s="1"/>
      <c r="P21" s="1"/>
      <c r="Q21" s="1"/>
      <c r="R21" s="1"/>
      <c r="S21" s="63"/>
      <c r="T21" s="1"/>
      <c r="U21" s="1"/>
      <c r="V21" s="1"/>
      <c r="W21" s="1"/>
      <c r="X21" s="1"/>
      <c r="Y21" s="63"/>
      <c r="Z21" s="1"/>
      <c r="AA21" s="25">
        <f t="shared" si="0"/>
        <v>9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0.47368421052631576</v>
      </c>
      <c r="AJ21" s="7"/>
    </row>
    <row r="22" spans="1:39" x14ac:dyDescent="0.3">
      <c r="A22" s="6">
        <v>11</v>
      </c>
      <c r="B22" s="47">
        <v>8</v>
      </c>
      <c r="C22" s="53" t="s">
        <v>67</v>
      </c>
      <c r="D22" s="1">
        <v>1</v>
      </c>
      <c r="E22" s="1">
        <v>1</v>
      </c>
      <c r="F22" s="1">
        <v>1</v>
      </c>
      <c r="G22" s="1">
        <v>1</v>
      </c>
      <c r="H22" s="63"/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63"/>
      <c r="O22" s="1"/>
      <c r="P22" s="1"/>
      <c r="Q22" s="1"/>
      <c r="R22" s="1"/>
      <c r="S22" s="63"/>
      <c r="T22" s="1"/>
      <c r="U22" s="1"/>
      <c r="V22" s="1"/>
      <c r="W22" s="1"/>
      <c r="X22" s="1"/>
      <c r="Y22" s="63"/>
      <c r="Z22" s="1"/>
      <c r="AA22" s="25">
        <f t="shared" si="0"/>
        <v>9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0.47368421052631576</v>
      </c>
    </row>
    <row r="23" spans="1:39" x14ac:dyDescent="0.3">
      <c r="A23" s="6">
        <v>12</v>
      </c>
      <c r="B23" s="47">
        <v>8</v>
      </c>
      <c r="C23" s="53" t="s">
        <v>68</v>
      </c>
      <c r="D23" s="1">
        <v>0</v>
      </c>
      <c r="E23" s="1">
        <v>0</v>
      </c>
      <c r="F23" s="1">
        <v>0</v>
      </c>
      <c r="G23" s="1">
        <v>0</v>
      </c>
      <c r="H23" s="63"/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63"/>
      <c r="O23" s="1">
        <v>0</v>
      </c>
      <c r="P23" s="1">
        <v>0</v>
      </c>
      <c r="Q23" s="1">
        <v>0</v>
      </c>
      <c r="R23" s="1">
        <v>0</v>
      </c>
      <c r="S23" s="63"/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63"/>
      <c r="Z23" s="1"/>
      <c r="AA23" s="25">
        <f t="shared" si="0"/>
        <v>0</v>
      </c>
      <c r="AB23" s="4">
        <f t="shared" si="1"/>
        <v>18</v>
      </c>
      <c r="AC23" s="4">
        <f t="shared" si="2"/>
        <v>0</v>
      </c>
      <c r="AD23" s="4">
        <f t="shared" si="3"/>
        <v>0</v>
      </c>
      <c r="AE23" s="10">
        <f t="shared" si="4"/>
        <v>0</v>
      </c>
    </row>
    <row r="24" spans="1:39" x14ac:dyDescent="0.3">
      <c r="A24" s="6">
        <v>13</v>
      </c>
      <c r="B24" s="47">
        <v>8</v>
      </c>
      <c r="C24" s="53" t="s">
        <v>69</v>
      </c>
      <c r="D24" s="1">
        <v>1</v>
      </c>
      <c r="E24" s="1">
        <v>1</v>
      </c>
      <c r="F24" s="1">
        <v>1</v>
      </c>
      <c r="G24" s="1">
        <v>1</v>
      </c>
      <c r="H24" s="63"/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63"/>
      <c r="O24" s="4"/>
      <c r="P24" s="4"/>
      <c r="Q24" s="4"/>
      <c r="R24" s="4"/>
      <c r="S24" s="63"/>
      <c r="T24" s="4"/>
      <c r="U24" s="4"/>
      <c r="V24" s="4"/>
      <c r="W24" s="4"/>
      <c r="X24" s="4"/>
      <c r="Y24" s="63"/>
      <c r="Z24" s="1"/>
      <c r="AA24" s="25">
        <f t="shared" si="0"/>
        <v>9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0.47368421052631576</v>
      </c>
    </row>
    <row r="25" spans="1:39" x14ac:dyDescent="0.3">
      <c r="A25" s="6">
        <v>14</v>
      </c>
      <c r="B25" s="47">
        <v>8</v>
      </c>
      <c r="C25" s="53" t="s">
        <v>70</v>
      </c>
      <c r="D25" s="1">
        <v>1</v>
      </c>
      <c r="E25" s="1">
        <v>1</v>
      </c>
      <c r="F25" s="1">
        <v>0</v>
      </c>
      <c r="G25" s="1">
        <v>1</v>
      </c>
      <c r="H25" s="63"/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63"/>
      <c r="O25" s="4"/>
      <c r="P25" s="4"/>
      <c r="Q25" s="4"/>
      <c r="R25" s="4"/>
      <c r="S25" s="63"/>
      <c r="T25" s="4"/>
      <c r="U25" s="4"/>
      <c r="V25" s="4"/>
      <c r="W25" s="4"/>
      <c r="X25" s="4"/>
      <c r="Y25" s="63"/>
      <c r="Z25" s="1"/>
      <c r="AA25" s="25">
        <f t="shared" si="0"/>
        <v>8</v>
      </c>
      <c r="AB25" s="4">
        <f t="shared" si="1"/>
        <v>1</v>
      </c>
      <c r="AC25" s="4">
        <f t="shared" si="2"/>
        <v>0</v>
      </c>
      <c r="AD25" s="4">
        <f t="shared" si="3"/>
        <v>0</v>
      </c>
      <c r="AE25" s="10">
        <f t="shared" si="4"/>
        <v>0.42105263157894735</v>
      </c>
    </row>
    <row r="26" spans="1:39" x14ac:dyDescent="0.3">
      <c r="A26" s="6">
        <v>15</v>
      </c>
      <c r="B26" s="47">
        <v>8</v>
      </c>
      <c r="C26" s="53" t="s">
        <v>71</v>
      </c>
      <c r="D26" s="1">
        <v>1</v>
      </c>
      <c r="E26" s="1">
        <v>1</v>
      </c>
      <c r="F26" s="1">
        <v>1</v>
      </c>
      <c r="G26" s="1">
        <v>1</v>
      </c>
      <c r="H26" s="63"/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63"/>
      <c r="O26" s="4"/>
      <c r="P26" s="4"/>
      <c r="Q26" s="4"/>
      <c r="R26" s="4"/>
      <c r="S26" s="63"/>
      <c r="T26" s="4"/>
      <c r="U26" s="4"/>
      <c r="V26" s="4"/>
      <c r="W26" s="4"/>
      <c r="X26" s="4"/>
      <c r="Y26" s="63"/>
      <c r="Z26" s="1"/>
      <c r="AA26" s="25">
        <f t="shared" si="0"/>
        <v>9</v>
      </c>
      <c r="AB26" s="4">
        <f t="shared" si="1"/>
        <v>0</v>
      </c>
      <c r="AC26" s="4">
        <f t="shared" si="2"/>
        <v>0</v>
      </c>
      <c r="AD26" s="4">
        <f t="shared" si="3"/>
        <v>0</v>
      </c>
      <c r="AE26" s="10">
        <f t="shared" si="4"/>
        <v>0.47368421052631576</v>
      </c>
    </row>
    <row r="27" spans="1:39" x14ac:dyDescent="0.3">
      <c r="A27" s="6">
        <v>16</v>
      </c>
      <c r="B27" s="54">
        <v>9</v>
      </c>
      <c r="C27" s="53" t="s">
        <v>72</v>
      </c>
      <c r="D27" s="1">
        <v>1</v>
      </c>
      <c r="E27" s="1">
        <v>1</v>
      </c>
      <c r="F27" s="1">
        <v>1</v>
      </c>
      <c r="G27" s="1">
        <v>1</v>
      </c>
      <c r="H27" s="63"/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63"/>
      <c r="O27" s="4"/>
      <c r="P27" s="4"/>
      <c r="Q27" s="4"/>
      <c r="R27" s="4"/>
      <c r="S27" s="63"/>
      <c r="T27" s="4"/>
      <c r="U27" s="4"/>
      <c r="V27" s="4"/>
      <c r="W27" s="4"/>
      <c r="X27" s="4"/>
      <c r="Y27" s="63"/>
      <c r="Z27" s="1"/>
      <c r="AA27" s="25">
        <f t="shared" si="0"/>
        <v>9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0.47368421052631576</v>
      </c>
    </row>
    <row r="28" spans="1:39" x14ac:dyDescent="0.3">
      <c r="A28" s="6">
        <v>17</v>
      </c>
      <c r="B28" s="54">
        <v>9</v>
      </c>
      <c r="C28" s="53" t="s">
        <v>73</v>
      </c>
      <c r="D28" s="1">
        <v>1</v>
      </c>
      <c r="E28" s="1">
        <v>1</v>
      </c>
      <c r="F28" s="1">
        <v>1</v>
      </c>
      <c r="G28" s="1">
        <v>1</v>
      </c>
      <c r="H28" s="63"/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63"/>
      <c r="O28" s="4"/>
      <c r="P28" s="4"/>
      <c r="Q28" s="4"/>
      <c r="R28" s="4"/>
      <c r="S28" s="63"/>
      <c r="T28" s="4"/>
      <c r="U28" s="4"/>
      <c r="V28" s="4"/>
      <c r="W28" s="4"/>
      <c r="X28" s="4"/>
      <c r="Y28" s="63"/>
      <c r="Z28" s="1"/>
      <c r="AA28" s="25">
        <f t="shared" si="0"/>
        <v>9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0.47368421052631576</v>
      </c>
    </row>
    <row r="29" spans="1:39" x14ac:dyDescent="0.3">
      <c r="A29" s="6">
        <v>18</v>
      </c>
      <c r="B29" s="54">
        <v>9</v>
      </c>
      <c r="C29" s="53" t="s">
        <v>74</v>
      </c>
      <c r="D29" s="1">
        <v>1</v>
      </c>
      <c r="E29" s="1">
        <v>1</v>
      </c>
      <c r="F29" s="1">
        <v>1</v>
      </c>
      <c r="G29" s="1">
        <v>1</v>
      </c>
      <c r="H29" s="63"/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63"/>
      <c r="O29" s="4"/>
      <c r="P29" s="4"/>
      <c r="Q29" s="4"/>
      <c r="R29" s="4"/>
      <c r="S29" s="63"/>
      <c r="T29" s="4"/>
      <c r="U29" s="4"/>
      <c r="V29" s="4"/>
      <c r="W29" s="4"/>
      <c r="X29" s="4"/>
      <c r="Y29" s="63"/>
      <c r="Z29" s="1"/>
      <c r="AA29" s="25">
        <f t="shared" si="0"/>
        <v>9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0.47368421052631576</v>
      </c>
    </row>
    <row r="30" spans="1:39" x14ac:dyDescent="0.3">
      <c r="A30" s="6">
        <v>19</v>
      </c>
      <c r="B30" s="54">
        <v>9</v>
      </c>
      <c r="C30" s="53" t="s">
        <v>75</v>
      </c>
      <c r="D30" s="1">
        <v>1</v>
      </c>
      <c r="E30" s="1">
        <v>1</v>
      </c>
      <c r="F30" s="1">
        <v>1</v>
      </c>
      <c r="G30" s="1">
        <v>1</v>
      </c>
      <c r="H30" s="63"/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63"/>
      <c r="O30" s="4"/>
      <c r="P30" s="4"/>
      <c r="Q30" s="4"/>
      <c r="R30" s="4"/>
      <c r="S30" s="63"/>
      <c r="T30" s="4"/>
      <c r="U30" s="4"/>
      <c r="V30" s="4"/>
      <c r="W30" s="4"/>
      <c r="X30" s="4"/>
      <c r="Y30" s="63"/>
      <c r="Z30" s="1"/>
      <c r="AA30" s="25">
        <f t="shared" si="0"/>
        <v>9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0.47368421052631576</v>
      </c>
    </row>
    <row r="31" spans="1:39" x14ac:dyDescent="0.3">
      <c r="A31" s="6">
        <v>20</v>
      </c>
      <c r="B31" s="54">
        <v>9</v>
      </c>
      <c r="C31" s="53" t="s">
        <v>76</v>
      </c>
      <c r="D31" s="1">
        <v>0</v>
      </c>
      <c r="E31" s="1">
        <v>1</v>
      </c>
      <c r="F31" s="1">
        <v>1</v>
      </c>
      <c r="G31" s="1">
        <v>1</v>
      </c>
      <c r="H31" s="63"/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63"/>
      <c r="O31" s="4"/>
      <c r="P31" s="4"/>
      <c r="Q31" s="4"/>
      <c r="R31" s="4"/>
      <c r="S31" s="63"/>
      <c r="T31" s="4"/>
      <c r="U31" s="4"/>
      <c r="V31" s="4"/>
      <c r="W31" s="4"/>
      <c r="X31" s="4"/>
      <c r="Y31" s="63"/>
      <c r="Z31" s="1"/>
      <c r="AA31" s="25">
        <f t="shared" si="0"/>
        <v>8</v>
      </c>
      <c r="AB31" s="4">
        <f t="shared" si="1"/>
        <v>1</v>
      </c>
      <c r="AC31" s="4">
        <f t="shared" si="2"/>
        <v>0</v>
      </c>
      <c r="AD31" s="4">
        <f t="shared" si="3"/>
        <v>0</v>
      </c>
      <c r="AE31" s="10">
        <f t="shared" si="4"/>
        <v>0.42105263157894735</v>
      </c>
    </row>
    <row r="32" spans="1:39" x14ac:dyDescent="0.3">
      <c r="A32" s="6">
        <v>21</v>
      </c>
      <c r="B32" s="54">
        <v>10</v>
      </c>
      <c r="C32" s="53" t="s">
        <v>77</v>
      </c>
      <c r="D32" s="1">
        <v>1</v>
      </c>
      <c r="E32" s="1">
        <v>1</v>
      </c>
      <c r="F32" s="1">
        <v>1</v>
      </c>
      <c r="G32" s="1">
        <v>1</v>
      </c>
      <c r="H32" s="63"/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63"/>
      <c r="O32" s="4"/>
      <c r="P32" s="4"/>
      <c r="Q32" s="4"/>
      <c r="R32" s="4"/>
      <c r="S32" s="63"/>
      <c r="T32" s="4"/>
      <c r="U32" s="4"/>
      <c r="V32" s="4"/>
      <c r="W32" s="4"/>
      <c r="X32" s="4"/>
      <c r="Y32" s="63"/>
      <c r="Z32" s="1"/>
      <c r="AA32" s="25">
        <f t="shared" si="0"/>
        <v>9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0.47368421052631576</v>
      </c>
    </row>
    <row r="33" spans="1:31" x14ac:dyDescent="0.3">
      <c r="A33" s="6">
        <v>22</v>
      </c>
      <c r="B33" s="54">
        <v>10</v>
      </c>
      <c r="C33" s="53" t="s">
        <v>78</v>
      </c>
      <c r="D33" s="1">
        <v>1</v>
      </c>
      <c r="E33" s="1">
        <v>1</v>
      </c>
      <c r="F33" s="1">
        <v>1</v>
      </c>
      <c r="G33" s="1">
        <v>1</v>
      </c>
      <c r="H33" s="63"/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63"/>
      <c r="O33" s="4"/>
      <c r="P33" s="4"/>
      <c r="Q33" s="4"/>
      <c r="R33" s="4"/>
      <c r="S33" s="63"/>
      <c r="T33" s="4"/>
      <c r="U33" s="4"/>
      <c r="V33" s="4"/>
      <c r="W33" s="4"/>
      <c r="X33" s="4"/>
      <c r="Y33" s="63"/>
      <c r="Z33" s="1"/>
      <c r="AA33" s="25">
        <f t="shared" si="0"/>
        <v>9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0.47368421052631576</v>
      </c>
    </row>
    <row r="34" spans="1:31" x14ac:dyDescent="0.3">
      <c r="A34" s="6">
        <v>23</v>
      </c>
      <c r="B34" s="54">
        <v>10</v>
      </c>
      <c r="C34" s="53" t="s">
        <v>79</v>
      </c>
      <c r="D34" s="1">
        <v>1</v>
      </c>
      <c r="E34" s="1">
        <v>1</v>
      </c>
      <c r="F34" s="1">
        <v>1</v>
      </c>
      <c r="G34" s="1">
        <v>1</v>
      </c>
      <c r="H34" s="63"/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63"/>
      <c r="O34" s="4"/>
      <c r="P34" s="4"/>
      <c r="Q34" s="4"/>
      <c r="R34" s="4"/>
      <c r="S34" s="63"/>
      <c r="T34" s="4"/>
      <c r="U34" s="4"/>
      <c r="V34" s="4"/>
      <c r="W34" s="4"/>
      <c r="X34" s="4"/>
      <c r="Y34" s="63"/>
      <c r="Z34" s="1"/>
      <c r="AA34" s="25">
        <f t="shared" si="0"/>
        <v>9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0.47368421052631576</v>
      </c>
    </row>
    <row r="35" spans="1:31" x14ac:dyDescent="0.3">
      <c r="A35" s="6">
        <v>24</v>
      </c>
      <c r="B35" s="54">
        <v>10</v>
      </c>
      <c r="C35" s="53" t="s">
        <v>80</v>
      </c>
      <c r="D35" s="1">
        <v>1</v>
      </c>
      <c r="E35" s="1">
        <v>1</v>
      </c>
      <c r="F35" s="1">
        <v>1</v>
      </c>
      <c r="G35" s="1">
        <v>1</v>
      </c>
      <c r="H35" s="63"/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63"/>
      <c r="O35" s="4"/>
      <c r="P35" s="4"/>
      <c r="Q35" s="4"/>
      <c r="R35" s="4"/>
      <c r="S35" s="63"/>
      <c r="T35" s="4"/>
      <c r="U35" s="4"/>
      <c r="V35" s="4"/>
      <c r="W35" s="4"/>
      <c r="X35" s="4"/>
      <c r="Y35" s="63"/>
      <c r="Z35" s="1"/>
      <c r="AA35" s="25">
        <f t="shared" si="0"/>
        <v>9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0.47368421052631576</v>
      </c>
    </row>
    <row r="36" spans="1:31" x14ac:dyDescent="0.3">
      <c r="A36" s="6">
        <v>25</v>
      </c>
      <c r="B36" s="54">
        <v>10</v>
      </c>
      <c r="C36" s="53" t="s">
        <v>81</v>
      </c>
      <c r="D36" s="1">
        <v>1</v>
      </c>
      <c r="E36" s="1">
        <v>1</v>
      </c>
      <c r="F36" s="1">
        <v>1</v>
      </c>
      <c r="G36" s="1">
        <v>1</v>
      </c>
      <c r="H36" s="63"/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63"/>
      <c r="O36" s="4"/>
      <c r="P36" s="4"/>
      <c r="Q36" s="4"/>
      <c r="R36" s="4"/>
      <c r="S36" s="63"/>
      <c r="T36" s="4"/>
      <c r="U36" s="4"/>
      <c r="V36" s="4"/>
      <c r="W36" s="4"/>
      <c r="X36" s="4"/>
      <c r="Y36" s="63"/>
      <c r="Z36" s="1"/>
      <c r="AA36" s="25">
        <f t="shared" si="0"/>
        <v>9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0.47368421052631576</v>
      </c>
    </row>
    <row r="37" spans="1:31" x14ac:dyDescent="0.3">
      <c r="A37" s="6">
        <v>26</v>
      </c>
      <c r="B37" s="54">
        <v>10</v>
      </c>
      <c r="C37" s="53" t="s">
        <v>82</v>
      </c>
      <c r="D37" s="1">
        <v>1</v>
      </c>
      <c r="E37" s="1">
        <v>1</v>
      </c>
      <c r="F37" s="1">
        <v>1</v>
      </c>
      <c r="G37" s="1">
        <v>1</v>
      </c>
      <c r="H37" s="63"/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63"/>
      <c r="O37" s="4"/>
      <c r="P37" s="4"/>
      <c r="Q37" s="4"/>
      <c r="R37" s="4"/>
      <c r="S37" s="63"/>
      <c r="T37" s="4"/>
      <c r="U37" s="4"/>
      <c r="V37" s="4"/>
      <c r="W37" s="4"/>
      <c r="X37" s="4"/>
      <c r="Y37" s="63"/>
      <c r="Z37" s="1"/>
      <c r="AA37" s="25">
        <f t="shared" ref="AA37:AA39" si="5">COUNTIF(D37:Y37,1)</f>
        <v>9</v>
      </c>
      <c r="AB37" s="4">
        <f t="shared" ref="AB37:AB39" si="6">COUNTIF(D37:Y37,0)</f>
        <v>0</v>
      </c>
      <c r="AC37" s="4">
        <f t="shared" ref="AC37:AC39" si="7">COUNTIF(D37:Y37,"T")</f>
        <v>0</v>
      </c>
      <c r="AD37" s="4">
        <f t="shared" ref="AD37:AD39" si="8">COUNTIF(D37:Y37,"J")</f>
        <v>0</v>
      </c>
      <c r="AE37" s="10">
        <f t="shared" ref="AE37:AE39" si="9">SUM(AA37+AC37)/19</f>
        <v>0.47368421052631576</v>
      </c>
    </row>
    <row r="38" spans="1:31" x14ac:dyDescent="0.3">
      <c r="A38" s="6">
        <v>27</v>
      </c>
      <c r="B38" s="54">
        <v>10</v>
      </c>
      <c r="C38" s="53" t="s">
        <v>83</v>
      </c>
      <c r="D38" s="1">
        <v>1</v>
      </c>
      <c r="E38" s="1">
        <v>1</v>
      </c>
      <c r="F38" s="1">
        <v>1</v>
      </c>
      <c r="G38" s="1">
        <v>1</v>
      </c>
      <c r="H38" s="63"/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63"/>
      <c r="O38" s="4"/>
      <c r="P38" s="4"/>
      <c r="Q38" s="4"/>
      <c r="R38" s="4"/>
      <c r="S38" s="63"/>
      <c r="T38" s="4"/>
      <c r="U38" s="4"/>
      <c r="V38" s="4"/>
      <c r="W38" s="4"/>
      <c r="X38" s="4"/>
      <c r="Y38" s="63"/>
      <c r="Z38" s="1"/>
      <c r="AA38" s="25">
        <f t="shared" si="5"/>
        <v>9</v>
      </c>
      <c r="AB38" s="4">
        <f t="shared" si="6"/>
        <v>0</v>
      </c>
      <c r="AC38" s="4">
        <f t="shared" si="7"/>
        <v>0</v>
      </c>
      <c r="AD38" s="4">
        <f t="shared" si="8"/>
        <v>0</v>
      </c>
      <c r="AE38" s="10">
        <f t="shared" si="9"/>
        <v>0.47368421052631576</v>
      </c>
    </row>
    <row r="39" spans="1:31" x14ac:dyDescent="0.3">
      <c r="A39" s="6">
        <v>28</v>
      </c>
      <c r="B39" s="54">
        <v>11</v>
      </c>
      <c r="C39" s="53" t="s">
        <v>84</v>
      </c>
      <c r="D39" s="1">
        <v>1</v>
      </c>
      <c r="E39" s="1">
        <v>1</v>
      </c>
      <c r="F39" s="1">
        <v>1</v>
      </c>
      <c r="G39" s="1">
        <v>1</v>
      </c>
      <c r="H39" s="63"/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63"/>
      <c r="O39" s="4"/>
      <c r="P39" s="4"/>
      <c r="Q39" s="4"/>
      <c r="R39" s="4"/>
      <c r="S39" s="63"/>
      <c r="T39" s="4"/>
      <c r="U39" s="4"/>
      <c r="V39" s="4"/>
      <c r="W39" s="4"/>
      <c r="X39" s="4"/>
      <c r="Y39" s="63"/>
      <c r="Z39" s="1"/>
      <c r="AA39" s="25">
        <f t="shared" si="5"/>
        <v>9</v>
      </c>
      <c r="AB39" s="4">
        <f t="shared" si="6"/>
        <v>0</v>
      </c>
      <c r="AC39" s="4">
        <f t="shared" si="7"/>
        <v>0</v>
      </c>
      <c r="AD39" s="4">
        <f t="shared" si="8"/>
        <v>0</v>
      </c>
      <c r="AE39" s="10">
        <f t="shared" si="9"/>
        <v>0.47368421052631576</v>
      </c>
    </row>
  </sheetData>
  <mergeCells count="25">
    <mergeCell ref="AH11:AO11"/>
    <mergeCell ref="H11:H39"/>
    <mergeCell ref="N11:N39"/>
    <mergeCell ref="S11:S39"/>
    <mergeCell ref="Y11:Y39"/>
    <mergeCell ref="AC10:AE10"/>
    <mergeCell ref="A10:B10"/>
    <mergeCell ref="C10:J10"/>
    <mergeCell ref="K10:S10"/>
    <mergeCell ref="T10:Z10"/>
    <mergeCell ref="AA10:AB10"/>
    <mergeCell ref="AD1:AE7"/>
    <mergeCell ref="A8:AE8"/>
    <mergeCell ref="Y9:AE9"/>
    <mergeCell ref="C1:AC1"/>
    <mergeCell ref="A1:B7"/>
    <mergeCell ref="A9:B9"/>
    <mergeCell ref="C9:G9"/>
    <mergeCell ref="H9:J9"/>
    <mergeCell ref="K9:S9"/>
    <mergeCell ref="C2:Z6"/>
    <mergeCell ref="AA2:AC3"/>
    <mergeCell ref="AA4:AC5"/>
    <mergeCell ref="AA6:AC7"/>
    <mergeCell ref="C7:Z7"/>
  </mergeCells>
  <conditionalFormatting sqref="D12:D14 D13:G13 D15:G15 D16:D22 D23:G23 D24:D39">
    <cfRule type="cellIs" dxfId="146" priority="321" operator="equal">
      <formula>"J"</formula>
    </cfRule>
    <cfRule type="cellIs" dxfId="145" priority="320" stopIfTrue="1" operator="equal">
      <formula>"T"</formula>
    </cfRule>
    <cfRule type="cellIs" dxfId="144" priority="322" operator="equal">
      <formula>"T"</formula>
    </cfRule>
  </conditionalFormatting>
  <conditionalFormatting sqref="D12:D14 D13:G13 D15:G23 D24:D39">
    <cfRule type="cellIs" dxfId="143" priority="325" operator="equal">
      <formula>"T"</formula>
    </cfRule>
  </conditionalFormatting>
  <conditionalFormatting sqref="D12:D14 D13:G13 D15:G39">
    <cfRule type="cellIs" dxfId="142" priority="324" operator="equal">
      <formula>"J"</formula>
    </cfRule>
    <cfRule type="cellIs" dxfId="141" priority="323" stopIfTrue="1" operator="equal">
      <formula>"T"</formula>
    </cfRule>
  </conditionalFormatting>
  <conditionalFormatting sqref="E12">
    <cfRule type="cellIs" dxfId="140" priority="311" operator="equal">
      <formula>"T"</formula>
    </cfRule>
    <cfRule type="cellIs" dxfId="139" priority="309" stopIfTrue="1" operator="equal">
      <formula>"T"</formula>
    </cfRule>
    <cfRule type="cellIs" dxfId="138" priority="308" operator="equal">
      <formula>"T"</formula>
    </cfRule>
    <cfRule type="cellIs" dxfId="137" priority="307" operator="equal">
      <formula>"J"</formula>
    </cfRule>
    <cfRule type="cellIs" dxfId="136" priority="306" stopIfTrue="1" operator="equal">
      <formula>"T"</formula>
    </cfRule>
    <cfRule type="cellIs" dxfId="135" priority="310" operator="equal">
      <formula>"J"</formula>
    </cfRule>
  </conditionalFormatting>
  <conditionalFormatting sqref="E14">
    <cfRule type="cellIs" dxfId="134" priority="297" operator="equal">
      <formula>"T"</formula>
    </cfRule>
    <cfRule type="cellIs" dxfId="133" priority="292" stopIfTrue="1" operator="equal">
      <formula>"T"</formula>
    </cfRule>
    <cfRule type="cellIs" dxfId="132" priority="295" stopIfTrue="1" operator="equal">
      <formula>"T"</formula>
    </cfRule>
    <cfRule type="cellIs" dxfId="131" priority="296" operator="equal">
      <formula>"J"</formula>
    </cfRule>
    <cfRule type="cellIs" dxfId="130" priority="294" operator="equal">
      <formula>"T"</formula>
    </cfRule>
    <cfRule type="cellIs" dxfId="129" priority="293" operator="equal">
      <formula>"J"</formula>
    </cfRule>
  </conditionalFormatting>
  <conditionalFormatting sqref="E26:E39">
    <cfRule type="cellIs" dxfId="128" priority="174" stopIfTrue="1" operator="equal">
      <formula>"T"</formula>
    </cfRule>
    <cfRule type="cellIs" dxfId="127" priority="175" operator="equal">
      <formula>"J"</formula>
    </cfRule>
    <cfRule type="cellIs" dxfId="126" priority="176" operator="equal">
      <formula>"T"</formula>
    </cfRule>
  </conditionalFormatting>
  <conditionalFormatting sqref="E13:G13 H11 N11 S11 Y11 Z12:Z39 O12:R22 T12:X22 O24:R39 T24:X39">
    <cfRule type="cellIs" dxfId="125" priority="328" stopIfTrue="1" operator="equal">
      <formula>"T"</formula>
    </cfRule>
  </conditionalFormatting>
  <conditionalFormatting sqref="E16:G22">
    <cfRule type="cellIs" dxfId="124" priority="225" stopIfTrue="1" operator="equal">
      <formula>"T"</formula>
    </cfRule>
    <cfRule type="cellIs" dxfId="123" priority="226" operator="equal">
      <formula>"J"</formula>
    </cfRule>
    <cfRule type="cellIs" dxfId="122" priority="227" operator="equal">
      <formula>"T"</formula>
    </cfRule>
  </conditionalFormatting>
  <conditionalFormatting sqref="E24:G24">
    <cfRule type="cellIs" dxfId="121" priority="212" stopIfTrue="1" operator="equal">
      <formula>"T"</formula>
    </cfRule>
    <cfRule type="cellIs" dxfId="120" priority="213" operator="equal">
      <formula>"J"</formula>
    </cfRule>
    <cfRule type="cellIs" dxfId="119" priority="214" operator="equal">
      <formula>"T"</formula>
    </cfRule>
  </conditionalFormatting>
  <conditionalFormatting sqref="E25:G25">
    <cfRule type="cellIs" dxfId="118" priority="199" stopIfTrue="1" operator="equal">
      <formula>"T"</formula>
    </cfRule>
    <cfRule type="cellIs" dxfId="117" priority="200" operator="equal">
      <formula>"J"</formula>
    </cfRule>
    <cfRule type="cellIs" dxfId="116" priority="201" operator="equal">
      <formula>"T"</formula>
    </cfRule>
  </conditionalFormatting>
  <conditionalFormatting sqref="F12">
    <cfRule type="cellIs" dxfId="115" priority="283" operator="equal">
      <formula>"T"</formula>
    </cfRule>
    <cfRule type="cellIs" dxfId="114" priority="278" stopIfTrue="1" operator="equal">
      <formula>"T"</formula>
    </cfRule>
    <cfRule type="cellIs" dxfId="113" priority="279" operator="equal">
      <formula>"J"</formula>
    </cfRule>
    <cfRule type="cellIs" dxfId="112" priority="280" operator="equal">
      <formula>"T"</formula>
    </cfRule>
    <cfRule type="cellIs" dxfId="111" priority="281" stopIfTrue="1" operator="equal">
      <formula>"T"</formula>
    </cfRule>
    <cfRule type="cellIs" dxfId="110" priority="282" operator="equal">
      <formula>"J"</formula>
    </cfRule>
  </conditionalFormatting>
  <conditionalFormatting sqref="F14">
    <cfRule type="cellIs" dxfId="109" priority="253" stopIfTrue="1" operator="equal">
      <formula>"T"</formula>
    </cfRule>
    <cfRule type="cellIs" dxfId="108" priority="254" operator="equal">
      <formula>"J"</formula>
    </cfRule>
    <cfRule type="cellIs" dxfId="107" priority="255" operator="equal">
      <formula>"T"</formula>
    </cfRule>
    <cfRule type="cellIs" dxfId="106" priority="250" stopIfTrue="1" operator="equal">
      <formula>"T"</formula>
    </cfRule>
    <cfRule type="cellIs" dxfId="105" priority="251" operator="equal">
      <formula>"J"</formula>
    </cfRule>
    <cfRule type="cellIs" dxfId="104" priority="252" operator="equal">
      <formula>"T"</formula>
    </cfRule>
  </conditionalFormatting>
  <conditionalFormatting sqref="F25">
    <cfRule type="cellIs" dxfId="103" priority="189" operator="equal">
      <formula>"T"</formula>
    </cfRule>
    <cfRule type="cellIs" dxfId="102" priority="187" stopIfTrue="1" operator="equal">
      <formula>"T"</formula>
    </cfRule>
    <cfRule type="cellIs" dxfId="101" priority="188" operator="equal">
      <formula>"J"</formula>
    </cfRule>
  </conditionalFormatting>
  <conditionalFormatting sqref="F26:G39">
    <cfRule type="cellIs" dxfId="100" priority="162" operator="equal">
      <formula>"J"</formula>
    </cfRule>
    <cfRule type="cellIs" dxfId="99" priority="161" stopIfTrue="1" operator="equal">
      <formula>"T"</formula>
    </cfRule>
    <cfRule type="cellIs" dxfId="98" priority="163" operator="equal">
      <formula>"T"</formula>
    </cfRule>
  </conditionalFormatting>
  <conditionalFormatting sqref="G12">
    <cfRule type="cellIs" dxfId="97" priority="269" operator="equal">
      <formula>"T"</formula>
    </cfRule>
    <cfRule type="cellIs" dxfId="96" priority="268" operator="equal">
      <formula>"J"</formula>
    </cfRule>
    <cfRule type="cellIs" dxfId="95" priority="267" stopIfTrue="1" operator="equal">
      <formula>"T"</formula>
    </cfRule>
    <cfRule type="cellIs" dxfId="94" priority="266" operator="equal">
      <formula>"T"</formula>
    </cfRule>
    <cfRule type="cellIs" dxfId="93" priority="265" operator="equal">
      <formula>"J"</formula>
    </cfRule>
    <cfRule type="cellIs" dxfId="92" priority="264" stopIfTrue="1" operator="equal">
      <formula>"T"</formula>
    </cfRule>
  </conditionalFormatting>
  <conditionalFormatting sqref="G14">
    <cfRule type="cellIs" dxfId="91" priority="239" stopIfTrue="1" operator="equal">
      <formula>"T"</formula>
    </cfRule>
    <cfRule type="cellIs" dxfId="90" priority="241" operator="equal">
      <formula>"T"</formula>
    </cfRule>
    <cfRule type="cellIs" dxfId="89" priority="238" operator="equal">
      <formula>"T"</formula>
    </cfRule>
    <cfRule type="cellIs" dxfId="88" priority="237" operator="equal">
      <formula>"J"</formula>
    </cfRule>
    <cfRule type="cellIs" dxfId="87" priority="236" stopIfTrue="1" operator="equal">
      <formula>"T"</formula>
    </cfRule>
    <cfRule type="cellIs" dxfId="86" priority="240" operator="equal">
      <formula>"J"</formula>
    </cfRule>
  </conditionalFormatting>
  <conditionalFormatting sqref="G17">
    <cfRule type="cellIs" dxfId="85" priority="329" operator="equal">
      <formula>"T, t"</formula>
    </cfRule>
  </conditionalFormatting>
  <conditionalFormatting sqref="H11 E13:G13 O12:R22 T12:X22">
    <cfRule type="cellIs" dxfId="84" priority="330" operator="equal">
      <formula>"T"</formula>
    </cfRule>
  </conditionalFormatting>
  <conditionalFormatting sqref="H11 N11 S11 Y11 Z12:Z39 E13:G13 O12:R22 T12:X22 O24:R39 T24:X39">
    <cfRule type="cellIs" dxfId="82" priority="336" operator="equal">
      <formula>"J"</formula>
    </cfRule>
  </conditionalFormatting>
  <conditionalFormatting sqref="I12:M12 I14:M14 I16:M22 I24:M39">
    <cfRule type="cellIs" dxfId="66" priority="147" stopIfTrue="1" operator="equal">
      <formula>"T"</formula>
    </cfRule>
    <cfRule type="cellIs" dxfId="67" priority="148" operator="equal">
      <formula>"J"</formula>
    </cfRule>
    <cfRule type="cellIs" dxfId="68" priority="149" operator="equal">
      <formula>"T"</formula>
    </cfRule>
    <cfRule type="cellIs" dxfId="69" priority="150" stopIfTrue="1" operator="equal">
      <formula>"T"</formula>
    </cfRule>
    <cfRule type="cellIs" dxfId="70" priority="151" operator="equal">
      <formula>"J"</formula>
    </cfRule>
    <cfRule type="cellIs" dxfId="71" priority="152" operator="equal">
      <formula>"T"</formula>
    </cfRule>
  </conditionalFormatting>
  <conditionalFormatting sqref="I13:M13">
    <cfRule type="cellIs" dxfId="58" priority="128" stopIfTrue="1" operator="equal">
      <formula>"T"</formula>
    </cfRule>
    <cfRule type="cellIs" dxfId="59" priority="129" operator="equal">
      <formula>"J"</formula>
    </cfRule>
    <cfRule type="cellIs" dxfId="57" priority="130" operator="equal">
      <formula>"T"</formula>
    </cfRule>
  </conditionalFormatting>
  <conditionalFormatting sqref="I13:M13">
    <cfRule type="cellIs" dxfId="56" priority="133" operator="equal">
      <formula>"T"</formula>
    </cfRule>
  </conditionalFormatting>
  <conditionalFormatting sqref="I13:M13">
    <cfRule type="cellIs" dxfId="54" priority="131" stopIfTrue="1" operator="equal">
      <formula>"T"</formula>
    </cfRule>
    <cfRule type="cellIs" dxfId="55" priority="132" operator="equal">
      <formula>"J"</formula>
    </cfRule>
  </conditionalFormatting>
  <conditionalFormatting sqref="I13:M13">
    <cfRule type="cellIs" dxfId="53" priority="136" stopIfTrue="1" operator="equal">
      <formula>"T"</formula>
    </cfRule>
  </conditionalFormatting>
  <conditionalFormatting sqref="I13:M13">
    <cfRule type="cellIs" dxfId="52" priority="137" operator="equal">
      <formula>"T"</formula>
    </cfRule>
  </conditionalFormatting>
  <conditionalFormatting sqref="I13:M13">
    <cfRule type="cellIs" dxfId="51" priority="140" operator="equal">
      <formula>"J"</formula>
    </cfRule>
  </conditionalFormatting>
  <conditionalFormatting sqref="O13:R13">
    <cfRule type="cellIs" dxfId="49" priority="113" stopIfTrue="1" operator="equal">
      <formula>"T"</formula>
    </cfRule>
    <cfRule type="cellIs" dxfId="50" priority="114" operator="equal">
      <formula>"J"</formula>
    </cfRule>
    <cfRule type="cellIs" dxfId="48" priority="115" operator="equal">
      <formula>"T"</formula>
    </cfRule>
  </conditionalFormatting>
  <conditionalFormatting sqref="O13:R13">
    <cfRule type="cellIs" dxfId="47" priority="118" operator="equal">
      <formula>"T"</formula>
    </cfRule>
  </conditionalFormatting>
  <conditionalFormatting sqref="O13:R13">
    <cfRule type="cellIs" dxfId="45" priority="116" stopIfTrue="1" operator="equal">
      <formula>"T"</formula>
    </cfRule>
    <cfRule type="cellIs" dxfId="46" priority="117" operator="equal">
      <formula>"J"</formula>
    </cfRule>
  </conditionalFormatting>
  <conditionalFormatting sqref="T13:X13">
    <cfRule type="cellIs" dxfId="43" priority="98" stopIfTrue="1" operator="equal">
      <formula>"T"</formula>
    </cfRule>
    <cfRule type="cellIs" dxfId="44" priority="99" operator="equal">
      <formula>"J"</formula>
    </cfRule>
    <cfRule type="cellIs" dxfId="42" priority="100" operator="equal">
      <formula>"T"</formula>
    </cfRule>
  </conditionalFormatting>
  <conditionalFormatting sqref="T13:X13">
    <cfRule type="cellIs" dxfId="41" priority="103" operator="equal">
      <formula>"T"</formula>
    </cfRule>
  </conditionalFormatting>
  <conditionalFormatting sqref="T13:X13">
    <cfRule type="cellIs" dxfId="39" priority="101" stopIfTrue="1" operator="equal">
      <formula>"T"</formula>
    </cfRule>
    <cfRule type="cellIs" dxfId="40" priority="102" operator="equal">
      <formula>"J"</formula>
    </cfRule>
  </conditionalFormatting>
  <conditionalFormatting sqref="I15:M15">
    <cfRule type="cellIs" dxfId="37" priority="79" stopIfTrue="1" operator="equal">
      <formula>"T"</formula>
    </cfRule>
    <cfRule type="cellIs" dxfId="38" priority="80" operator="equal">
      <formula>"J"</formula>
    </cfRule>
    <cfRule type="cellIs" dxfId="36" priority="81" operator="equal">
      <formula>"T"</formula>
    </cfRule>
  </conditionalFormatting>
  <conditionalFormatting sqref="I15:M15">
    <cfRule type="cellIs" dxfId="35" priority="84" operator="equal">
      <formula>"T"</formula>
    </cfRule>
  </conditionalFormatting>
  <conditionalFormatting sqref="I15:M15">
    <cfRule type="cellIs" dxfId="33" priority="82" stopIfTrue="1" operator="equal">
      <formula>"T"</formula>
    </cfRule>
    <cfRule type="cellIs" dxfId="34" priority="83" operator="equal">
      <formula>"J"</formula>
    </cfRule>
  </conditionalFormatting>
  <conditionalFormatting sqref="I15:M15">
    <cfRule type="cellIs" dxfId="32" priority="87" stopIfTrue="1" operator="equal">
      <formula>"T"</formula>
    </cfRule>
  </conditionalFormatting>
  <conditionalFormatting sqref="I15:M15">
    <cfRule type="cellIs" dxfId="31" priority="88" operator="equal">
      <formula>"T"</formula>
    </cfRule>
  </conditionalFormatting>
  <conditionalFormatting sqref="I15:M15">
    <cfRule type="cellIs" dxfId="30" priority="91" operator="equal">
      <formula>"J"</formula>
    </cfRule>
  </conditionalFormatting>
  <conditionalFormatting sqref="O15:R15">
    <cfRule type="cellIs" dxfId="28" priority="64" stopIfTrue="1" operator="equal">
      <formula>"T"</formula>
    </cfRule>
    <cfRule type="cellIs" dxfId="29" priority="65" operator="equal">
      <formula>"J"</formula>
    </cfRule>
    <cfRule type="cellIs" dxfId="27" priority="66" operator="equal">
      <formula>"T"</formula>
    </cfRule>
  </conditionalFormatting>
  <conditionalFormatting sqref="O15:R15">
    <cfRule type="cellIs" dxfId="26" priority="69" operator="equal">
      <formula>"T"</formula>
    </cfRule>
  </conditionalFormatting>
  <conditionalFormatting sqref="O15:R15">
    <cfRule type="cellIs" dxfId="24" priority="67" stopIfTrue="1" operator="equal">
      <formula>"T"</formula>
    </cfRule>
    <cfRule type="cellIs" dxfId="25" priority="68" operator="equal">
      <formula>"J"</formula>
    </cfRule>
  </conditionalFormatting>
  <conditionalFormatting sqref="T15:X15">
    <cfRule type="cellIs" dxfId="22" priority="49" stopIfTrue="1" operator="equal">
      <formula>"T"</formula>
    </cfRule>
    <cfRule type="cellIs" dxfId="23" priority="50" operator="equal">
      <formula>"J"</formula>
    </cfRule>
    <cfRule type="cellIs" dxfId="21" priority="51" operator="equal">
      <formula>"T"</formula>
    </cfRule>
  </conditionalFormatting>
  <conditionalFormatting sqref="T15:X15">
    <cfRule type="cellIs" dxfId="20" priority="54" operator="equal">
      <formula>"T"</formula>
    </cfRule>
  </conditionalFormatting>
  <conditionalFormatting sqref="T15:X15">
    <cfRule type="cellIs" dxfId="18" priority="52" stopIfTrue="1" operator="equal">
      <formula>"T"</formula>
    </cfRule>
    <cfRule type="cellIs" dxfId="19" priority="53" operator="equal">
      <formula>"J"</formula>
    </cfRule>
  </conditionalFormatting>
  <conditionalFormatting sqref="I23:M23">
    <cfRule type="cellIs" dxfId="16" priority="35" stopIfTrue="1" operator="equal">
      <formula>"T"</formula>
    </cfRule>
    <cfRule type="cellIs" dxfId="17" priority="36" operator="equal">
      <formula>"J"</formula>
    </cfRule>
    <cfRule type="cellIs" dxfId="15" priority="37" operator="equal">
      <formula>"T"</formula>
    </cfRule>
  </conditionalFormatting>
  <conditionalFormatting sqref="I23:M23">
    <cfRule type="cellIs" dxfId="14" priority="40" operator="equal">
      <formula>"T"</formula>
    </cfRule>
  </conditionalFormatting>
  <conditionalFormatting sqref="I23:M23">
    <cfRule type="cellIs" dxfId="12" priority="38" stopIfTrue="1" operator="equal">
      <formula>"T"</formula>
    </cfRule>
    <cfRule type="cellIs" dxfId="13" priority="39" operator="equal">
      <formula>"J"</formula>
    </cfRule>
  </conditionalFormatting>
  <conditionalFormatting sqref="O23:R23">
    <cfRule type="cellIs" dxfId="10" priority="21" stopIfTrue="1" operator="equal">
      <formula>"T"</formula>
    </cfRule>
    <cfRule type="cellIs" dxfId="11" priority="22" operator="equal">
      <formula>"J"</formula>
    </cfRule>
    <cfRule type="cellIs" dxfId="9" priority="23" operator="equal">
      <formula>"T"</formula>
    </cfRule>
  </conditionalFormatting>
  <conditionalFormatting sqref="O23:R23">
    <cfRule type="cellIs" dxfId="8" priority="26" operator="equal">
      <formula>"T"</formula>
    </cfRule>
  </conditionalFormatting>
  <conditionalFormatting sqref="O23:R23">
    <cfRule type="cellIs" dxfId="6" priority="24" stopIfTrue="1" operator="equal">
      <formula>"T"</formula>
    </cfRule>
    <cfRule type="cellIs" dxfId="7" priority="25" operator="equal">
      <formula>"J"</formula>
    </cfRule>
  </conditionalFormatting>
  <conditionalFormatting sqref="T23:X23">
    <cfRule type="cellIs" dxfId="4" priority="7" stopIfTrue="1" operator="equal">
      <formula>"T"</formula>
    </cfRule>
    <cfRule type="cellIs" dxfId="5" priority="8" operator="equal">
      <formula>"J"</formula>
    </cfRule>
    <cfRule type="cellIs" dxfId="3" priority="9" operator="equal">
      <formula>"T"</formula>
    </cfRule>
  </conditionalFormatting>
  <conditionalFormatting sqref="T23:X23">
    <cfRule type="cellIs" dxfId="2" priority="12" operator="equal">
      <formula>"T"</formula>
    </cfRule>
  </conditionalFormatting>
  <conditionalFormatting sqref="T23:X23">
    <cfRule type="cellIs" dxfId="0" priority="10" stopIfTrue="1" operator="equal">
      <formula>"T"</formula>
    </cfRule>
    <cfRule type="cellIs" dxfId="1" priority="11" operator="equal">
      <formula>"J"</formula>
    </cfRule>
  </conditionalFormatting>
  <dataValidations count="1">
    <dataValidation type="list" allowBlank="1" showInputMessage="1" showErrorMessage="1" sqref="D12:G39 T13:X13 O13:R13 T15:X15 O15:R15 I12:M39 O23:R23 T23:X23" xr:uid="{30E8CDA9-902F-487C-A218-F977983163C8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6" id="{92A9CE98-376D-4409-AB9C-7A2D715298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5" id="{6925F555-4A02-4B53-BFFA-D165EAE578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7" id="{C6C13CBF-3FB6-48F1-B052-2E383C7584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6" id="{F572CD91-1B5B-48FC-9F68-BE6354B88B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7" id="{C166551A-65C5-49AD-B91B-CFC703E3A7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9" id="{35F9BB17-C615-418C-AE8D-767A7263B7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18" id="{4E1FECC9-E63A-4526-B300-947081CF3C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4" id="{3F963F3E-FDDE-431D-91F1-189BA4B1F7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D12:D14 D13:G13 D16:D22 D15:G15 D23:G23 D24:D39</xm:sqref>
        </x14:conditionalFormatting>
        <x14:conditionalFormatting xmlns:xm="http://schemas.microsoft.com/office/excel/2006/main">
          <x14:cfRule type="iconSet" priority="300" id="{963CA973-FC8A-4C2B-91D1-F02A6F186A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2" id="{EF40B87F-E5D7-4610-AC58-C264520D78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4" id="{34C25D47-9704-45F6-ADF9-6C5E052A79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5" id="{FFB82CD9-D5EF-4F7C-9C3C-051082B1BD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13" id="{252F5A69-EF3C-4D77-851E-17F42013DF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3" id="{A38335AD-7392-490E-8ED4-4DA1C0A906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2" id="{84921477-A855-406E-ACAC-A37D222AD5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1" id="{F6E9C0F9-11A1-48F5-B96C-4B2F33FE39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290" id="{94FECDD5-9C59-4606-9A95-DE7597AEB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9" id="{8135A8AB-C39A-4FFE-80E3-80B42762E5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8" id="{39E24A32-A384-4A05-B6B2-822956D1CF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7" id="{E2976D77-0597-4311-A91F-E8A00C48B4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1" id="{7762D35B-998F-40A9-BC46-AA06587E7A9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86" id="{50C71C91-494C-4CCF-92E8-47DE7D55D5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8" id="{EE467832-A028-4D72-BA11-6A11F02799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9" id="{84D9B039-1797-41BE-BD87-90BAF56800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</xm:sqref>
        </x14:conditionalFormatting>
        <x14:conditionalFormatting xmlns:xm="http://schemas.microsoft.com/office/excel/2006/main">
          <x14:cfRule type="iconSet" priority="170" id="{F247680C-A33C-4066-BF9D-858DF21688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1" id="{6262E68B-CEF6-4344-8EC4-0D5DBDCBF3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2" id="{991DCAEF-2B8D-4D79-91DC-331C2D26B8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3" id="{9AA40045-7F93-43E5-A437-1DDB51D6E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78" id="{9D444CC6-637D-4D86-8DD2-8C56F6C53E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0" id="{D2D6234B-40A2-48FB-AAC0-9D25EE8744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7" id="{3C4F3DDD-549D-47E7-BD53-8E6F7873F4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8" id="{F36137D1-5C0E-453D-B57A-325F15C7CC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9" id="{1E35B22D-B318-4909-A43E-6656F9B67A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E26:E39</xm:sqref>
        </x14:conditionalFormatting>
        <x14:conditionalFormatting xmlns:xm="http://schemas.microsoft.com/office/excel/2006/main">
          <x14:cfRule type="iconSet" priority="219" id="{6ED83EF5-2729-4C98-A4ED-71DB535C94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0" id="{0308321C-C99F-4751-AB53-829FB041CE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1" id="{4D342F0D-5F5F-425F-B3A8-2A9E26BB08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2" id="{7ADBA8FA-275E-4A10-98BA-49CFAA601C9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3" id="{15801677-849A-483C-96AC-9E010EBAF9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4" id="{8D582A97-7108-4B1A-A8D9-A743B5E8A8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28" id="{552AC19A-C3C2-45E8-B042-EC7C329469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9" id="{0301B49E-0370-4E9B-BF14-27A3B52435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E16:G22</xm:sqref>
        </x14:conditionalFormatting>
        <x14:conditionalFormatting xmlns:xm="http://schemas.microsoft.com/office/excel/2006/main">
          <x14:cfRule type="iconSet" priority="209" id="{D16E9C08-2B17-41C6-B541-AAB5B589DF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0" id="{AB013D8C-85C5-41BA-82F4-3BA4473ABE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1" id="{8BB0A7EA-7089-4151-A34C-4964874524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15" id="{D6F422BC-B490-49F4-AA48-B5A57B91A4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6" id="{D9FECF6C-95A2-4440-AD09-2F957285C7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6" id="{FBCC734D-E78D-43C1-87EF-38E8EEC159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8" id="{E0B1C397-1912-45D7-AF9B-84C447DF68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7" id="{53E1C133-E606-44BD-8548-89F5744984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8" id="{F115473C-4F24-45CC-9DA2-2A3B76CFA6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E24:G24</xm:sqref>
        </x14:conditionalFormatting>
        <x14:conditionalFormatting xmlns:xm="http://schemas.microsoft.com/office/excel/2006/main">
          <x14:cfRule type="iconSet" priority="193" id="{115F90EC-236F-4283-AD02-18B6F327F7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4" id="{C98B9E82-B6FC-46D7-A7A8-3197B61AC4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5" id="{6E715F3D-3805-4CC1-9174-3DD01FBEB9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6" id="{8739CEEE-C3D9-4E22-B37F-299A78968B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7" id="{7914F9BD-073D-48F9-BA64-D12EFA6D1E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8" id="{4187CDB0-5FBB-482E-A133-AAAFAC1B40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02" id="{418384BC-AD8E-408A-B800-DA14E0F240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3" id="{388DC634-7163-423E-8DDF-2386A9DA2A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5" id="{2570360F-AAA4-4EA1-A7BB-4A85B08E16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E25:G25</xm:sqref>
        </x14:conditionalFormatting>
        <x14:conditionalFormatting xmlns:xm="http://schemas.microsoft.com/office/excel/2006/main">
          <x14:cfRule type="iconSet" priority="285" id="{635A9A7C-9B3F-4BF6-A141-0052B86BB2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2" id="{41967DAE-B777-447C-88C4-7AAC6B548E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5" id="{F5941EE7-6038-4403-B266-5A03BA8A11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4" id="{A68AF2E4-3060-4426-83E0-F834D2F252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4" id="{EE23D144-D126-43E6-AD9F-EC2CAD06AD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3" id="{E53A77D3-A2AD-4252-AC67-85C6FE41A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6" id="{65AFBF64-4684-489E-850A-92208FBEFA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7" id="{BFDD042E-8999-4759-B9CA-AC07097FC7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F12</xm:sqref>
        </x14:conditionalFormatting>
        <x14:conditionalFormatting xmlns:xm="http://schemas.microsoft.com/office/excel/2006/main">
          <x14:cfRule type="iconSet" priority="257" id="{684F170B-9E6D-45A9-80CA-005711D334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4" id="{C7EA60B5-C74F-4BD4-8F6D-4D337B5EB7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6" id="{4E81EBC3-ACEE-45B4-BFB3-A5EB8262A8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5" id="{1E255B35-4D06-4FC3-AD1C-CEAFC4AA95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6" id="{CC9914E3-4844-4E06-A47A-C7E455CE1E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7" id="{F5A5756E-24BA-483C-B122-B7C48303C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8" id="{1BA9BE19-7301-4E62-8EEC-1373B77C9B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9" id="{424EC6A0-7588-446C-AA13-D555F88017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F14</xm:sqref>
        </x14:conditionalFormatting>
        <x14:conditionalFormatting xmlns:xm="http://schemas.microsoft.com/office/excel/2006/main">
          <x14:cfRule type="iconSet" priority="192" id="{D5194776-31B4-4D40-ADDF-8A8B1BCB2B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1" id="{59B89701-FE85-4879-8014-ABF56C0206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3" id="{697A34DB-40A7-4BCB-9CC8-1B1CB59E04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4" id="{200F8E47-8D7C-4251-829D-B5DA15CBF5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5" id="{537970EF-576A-44D1-B43B-C42FC2C8FF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6" id="{6B259DC6-7157-4916-8093-CAF09E1D17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81" id="{6E4D161F-0FD9-49C3-B51E-DF1DBE690B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2" id="{628C3DFD-5410-40F4-A24B-81D6E88D81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F25</xm:sqref>
        </x14:conditionalFormatting>
        <x14:conditionalFormatting xmlns:xm="http://schemas.microsoft.com/office/excel/2006/main">
          <x14:cfRule type="iconSet" priority="156" id="{626F3D4A-9884-4D9D-BDBC-83D31B2CBE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0" id="{C1D01506-9A0D-4337-858D-B7E5812480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9" id="{CFF7E583-F09E-4565-9DF3-32D21756A1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8" id="{DF375AB1-B0D2-4DB6-A92A-46E2C389E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7" id="{CC246193-7510-4EA1-A8A1-05F1FD30C9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5" id="{068AA57F-F3BC-42B0-B445-5AC7687082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7" id="{4CCBFA58-5CDC-426D-96AB-D63E6B79C3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5" id="{C54D7576-1FB8-4479-A0DB-325F7F8260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4" id="{C740A262-A10C-462F-93C7-E11DB83437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F26:G39</xm:sqref>
        </x14:conditionalFormatting>
        <x14:conditionalFormatting xmlns:xm="http://schemas.microsoft.com/office/excel/2006/main">
          <x14:cfRule type="iconSet" priority="258" id="{8C08B7CE-C8F9-4D29-9075-9B55E33746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9" id="{427D6DC3-F4EC-4BB3-B2CC-633C479EAA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0" id="{8D8E7183-25B6-4394-BB20-E79679D8CF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1" id="{EB6985C1-0DE6-45BC-892C-64DA831441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2" id="{6191332D-791A-41DE-A710-11BDF4C0ED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3" id="{EBD5F74F-34B7-4DE0-B3B8-99F2B19512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71" id="{3A78DC6D-FB45-48E9-A0C8-98E74AEAA4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0" id="{3C9A7A62-2324-487C-BE74-8EE4F469EE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</xm:sqref>
        </x14:conditionalFormatting>
        <x14:conditionalFormatting xmlns:xm="http://schemas.microsoft.com/office/excel/2006/main">
          <x14:cfRule type="iconSet" priority="242" id="{05AE19F8-06FD-4494-95D0-BDCC558A15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3" id="{C1106263-8E97-4A09-9572-DC12D18E64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5" id="{18B05C14-D612-44BC-B3AA-4FE48AB1A6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34" id="{FF32CCF1-E313-4941-A903-6ABD9F58F7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3" id="{7E7458E5-F402-4870-AAA5-D616A25336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2" id="{4F253444-B6AB-4DCD-B493-15C6E2AFBE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1" id="{E185756C-F0A2-47B9-9DF2-85D3771DAD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0" id="{5ACC31F7-3352-41B6-B9ED-5C296B41E5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G14</xm:sqref>
        </x14:conditionalFormatting>
        <x14:conditionalFormatting xmlns:xm="http://schemas.microsoft.com/office/excel/2006/main">
          <x14:cfRule type="iconSet" priority="335" id="{2CFE0E3F-E961-4EF1-8397-A7FE4065DF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H11 N11 S11 Y11 Z12:Z39 E13:G13 E16:G22 E24:G39 O12:R22 T12:X22 O24:R39 T24:X39</xm:sqref>
        </x14:conditionalFormatting>
        <x14:conditionalFormatting xmlns:xm="http://schemas.microsoft.com/office/excel/2006/main">
          <x14:cfRule type="iconSet" priority="333" id="{352B6B17-2F3B-4A12-B2DB-7F83CB6FF1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E13 D40:Z63 O24:R39 T24:X39 E24:G39</xm:sqref>
        </x14:conditionalFormatting>
        <x14:conditionalFormatting xmlns:xm="http://schemas.microsoft.com/office/excel/2006/main">
          <x14:cfRule type="iconSet" priority="334" id="{305A1659-EBB8-4062-821A-73FA8DE344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T12:X12 E13:G13 H11 O12:R12 E16:G22</xm:sqref>
        </x14:conditionalFormatting>
        <x14:conditionalFormatting xmlns:xm="http://schemas.microsoft.com/office/excel/2006/main">
          <x14:cfRule type="iconSet" priority="141" id="{0B3B8A83-F2FF-42AC-A71F-FCCEFA57DA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" id="{290A8701-3CCF-4028-8C90-E5DCF8507C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" id="{A16986F0-D5B8-4A67-899E-791E5ED708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4" id="{2A2C0491-D3B4-4C95-96B0-0A5C40DAC9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5" id="{0D598A34-EB58-4364-8B0A-FC089125FB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6" id="{479CCD59-62A8-4B7D-980B-089EB7FAA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3" id="{40350B51-8758-42A9-88CF-BB1C7EB9DE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4" id="{CAE2ADFC-05D7-4964-97BB-3C0C924761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I12:M12 I14:M14 I16:M22 I24:M39</xm:sqref>
        </x14:conditionalFormatting>
        <x14:conditionalFormatting xmlns:xm="http://schemas.microsoft.com/office/excel/2006/main">
          <x14:cfRule type="iconSet" priority="122" id="{1DA37B65-C574-4632-91A3-B307489A19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" id="{2A090F21-2637-4B58-8DA3-A08F791CFD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" id="{A49EB12A-7EC7-4FC5-B184-C93503287F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5" id="{48F9D7C0-84C3-4551-9DDD-25E33E5CC0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6" id="{95A512BC-5580-48F1-825D-91518FFE73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" id="{E6EEB2A7-7D86-4CAB-B81D-49629F3928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4" id="{98534AAE-629E-40E9-A656-DDE0C23879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5" id="{C0C58661-CB14-4857-A6FF-E48FC00CCD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I13:M13</xm:sqref>
        </x14:conditionalFormatting>
        <x14:conditionalFormatting xmlns:xm="http://schemas.microsoft.com/office/excel/2006/main">
          <x14:cfRule type="iconSet" priority="139" id="{F7CC6A73-47CA-41BC-92C1-AEE9AB69C9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I13:M13</xm:sqref>
        </x14:conditionalFormatting>
        <x14:conditionalFormatting xmlns:xm="http://schemas.microsoft.com/office/excel/2006/main">
          <x14:cfRule type="iconSet" priority="138" id="{FB839EEF-7299-428F-9724-ADC12C1FCF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I13:M13</xm:sqref>
        </x14:conditionalFormatting>
        <x14:conditionalFormatting xmlns:xm="http://schemas.microsoft.com/office/excel/2006/main">
          <x14:cfRule type="iconSet" priority="107" id="{C2334AA3-E3C8-47CE-B546-BB66968379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8" id="{CD2D418D-3C0C-4B5F-A7BC-031DADAE9A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" id="{71BB18F6-DDDF-4010-84F4-D9FC1CAD28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0" id="{04A1DCFA-F4B3-4864-A5AB-81D36854C1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1" id="{D66794BF-30E6-4D58-9265-86E675FBE4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2" id="{8615ECB8-679A-44CC-8609-B05B90C466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19" id="{CBBD7D46-4FA6-4215-AA33-F0DA6EAB0F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0" id="{D199FC90-0C2D-446B-8E22-FE22159705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O13:R13</xm:sqref>
        </x14:conditionalFormatting>
        <x14:conditionalFormatting xmlns:xm="http://schemas.microsoft.com/office/excel/2006/main">
          <x14:cfRule type="iconSet" priority="121" id="{DCA9B088-B1AD-4984-9D2F-8D8847F30A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O13:R13</xm:sqref>
        </x14:conditionalFormatting>
        <x14:conditionalFormatting xmlns:xm="http://schemas.microsoft.com/office/excel/2006/main">
          <x14:cfRule type="iconSet" priority="92" id="{973A78C5-A38B-4EEE-B443-3534B427C7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3" id="{9A4D3E38-49C6-42EC-8EC8-3585660B55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4" id="{71BAA9FC-3AD0-4872-854B-02745181B4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5" id="{97465B3C-6768-46FA-BB9E-19A31585F3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" id="{78D8D1F6-EED1-42BB-ADEB-FD87056D5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" id="{D0874712-4D65-4BE1-9D13-B7CB6497D8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04" id="{91165F8C-D97B-494F-80D2-3029007719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" id="{69BF38C9-A4C3-4DD4-AB45-1C3B35E77C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T13:X13</xm:sqref>
        </x14:conditionalFormatting>
        <x14:conditionalFormatting xmlns:xm="http://schemas.microsoft.com/office/excel/2006/main">
          <x14:cfRule type="iconSet" priority="106" id="{00ABA995-9BDE-4C9B-9105-41BCC20DE5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T13:X13</xm:sqref>
        </x14:conditionalFormatting>
        <x14:conditionalFormatting xmlns:xm="http://schemas.microsoft.com/office/excel/2006/main">
          <x14:cfRule type="iconSet" priority="73" id="{ED6C84AB-4626-49CF-AEF0-A7C2AA4A3F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" id="{F6CCF25E-F955-4C7D-9DC8-86951D0B6A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5" id="{2D83BF71-4312-4BCE-BBDD-0F01F163A2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" id="{5B7544F8-B4E1-4F27-A13A-ED799E6A79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7" id="{3ACAAF8B-DF21-451C-961E-AB9FD039D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" id="{45F04E14-49CD-4EE9-89A3-2A01AC8529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85" id="{50F8DF88-5E65-464A-AA99-5E25B541FB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" id="{8B7281BA-2D6C-4A40-B0E4-7BA03DC595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I15:M15</xm:sqref>
        </x14:conditionalFormatting>
        <x14:conditionalFormatting xmlns:xm="http://schemas.microsoft.com/office/excel/2006/main">
          <x14:cfRule type="iconSet" priority="90" id="{86D3A64B-64A7-4F8F-BA21-9C8C194C59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I15:M15</xm:sqref>
        </x14:conditionalFormatting>
        <x14:conditionalFormatting xmlns:xm="http://schemas.microsoft.com/office/excel/2006/main">
          <x14:cfRule type="iconSet" priority="89" id="{6DF85478-8A32-475E-9363-F5E2A9DE76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I15:M15</xm:sqref>
        </x14:conditionalFormatting>
        <x14:conditionalFormatting xmlns:xm="http://schemas.microsoft.com/office/excel/2006/main">
          <x14:cfRule type="iconSet" priority="58" id="{34BADDDC-090E-4A62-A272-8CC17B6DDE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9" id="{5E4AE2A9-9B9F-4BF4-B108-AD09A49FCB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25BBADEB-37AE-4816-BC89-FAA412EC11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" id="{3B8CF8E6-CF5B-40BB-9B11-7B307EBF9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2" id="{B414B465-5184-4D9E-8B5F-156E90F1A2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3" id="{5E5292ED-5C88-4D50-AEC0-F153B62998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70" id="{4173DF21-208E-4789-A502-16B15A4CA1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1" id="{6CDC14D8-5775-423B-81E4-486A90527D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O15:R15</xm:sqref>
        </x14:conditionalFormatting>
        <x14:conditionalFormatting xmlns:xm="http://schemas.microsoft.com/office/excel/2006/main">
          <x14:cfRule type="iconSet" priority="72" id="{5EC0FA35-8B64-4026-9702-027FD2FB439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O15:R15</xm:sqref>
        </x14:conditionalFormatting>
        <x14:conditionalFormatting xmlns:xm="http://schemas.microsoft.com/office/excel/2006/main">
          <x14:cfRule type="iconSet" priority="43" id="{D9698476-2F97-47A3-BBFD-D422B18408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" id="{8A828B16-94EC-4C19-A91B-DF8D96A462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5" id="{812093E3-E753-4E9F-8445-EFE7760D31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FFB53E67-3FE8-45D1-AD3E-E8D36D3C4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7" id="{91BCA8AE-F413-4E5D-8E2A-D9155619DB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8" id="{F0DE64BC-51A8-470C-ADA5-BAD99520A5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55" id="{CB487C60-BD54-4B3D-BCEA-487D41D4C1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" id="{54C5B1AF-CA43-4E12-9F68-FC908ED36D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T15:X15</xm:sqref>
        </x14:conditionalFormatting>
        <x14:conditionalFormatting xmlns:xm="http://schemas.microsoft.com/office/excel/2006/main">
          <x14:cfRule type="iconSet" priority="57" id="{300C66CB-4A19-4E75-B12C-790A6AA7F9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T15:X15</xm:sqref>
        </x14:conditionalFormatting>
        <x14:conditionalFormatting xmlns:xm="http://schemas.microsoft.com/office/excel/2006/main">
          <x14:cfRule type="iconSet" priority="29" id="{C4173627-450B-4FC9-9026-B1CABFD81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" id="{E4576FF7-55FA-4F18-BE0E-FAFBDEC55E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" id="{983F3D5A-1095-4865-94AC-D281B9521F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" id="{9113F576-594F-4C18-9EDD-B3738EF684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" id="{A4A8F67F-A945-4D00-94D7-7B79FF2A41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" id="{9730DC74-CC5A-45B2-803B-34AB6B9A70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41" id="{4FE18D0F-9B21-4799-8FF0-9DD4EB05BA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" id="{3960F77B-E746-4FE3-8EB3-FC478AE5C5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I23:M23</xm:sqref>
        </x14:conditionalFormatting>
        <x14:conditionalFormatting xmlns:xm="http://schemas.microsoft.com/office/excel/2006/main">
          <x14:cfRule type="iconSet" priority="15" id="{F0A1BAAF-B547-43A2-A93C-417A1C74AB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" id="{5BED65BD-A4D1-4F5D-A117-A6826214A5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" id="{73A98760-0FDA-4193-A26A-F8878E8E80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" id="{D7910CAB-FAEF-4301-BC11-BE6B0655CE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" id="{FA53A4D4-8F40-4252-957E-0750BF871B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" id="{DB973340-51B3-4E74-91C0-504B42C215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27" id="{F671F742-C4D4-48B7-B62F-5AF43DD0B9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" id="{391C5C87-8C6F-4B4C-A786-821D4CF9C5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O23:R23</xm:sqref>
        </x14:conditionalFormatting>
        <x14:conditionalFormatting xmlns:xm="http://schemas.microsoft.com/office/excel/2006/main">
          <x14:cfRule type="iconSet" priority="1" id="{D6819619-886F-4293-A200-625AA912A4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" id="{BCB01F86-55B6-46CD-8CE2-E1E916A1A3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" id="{9356D499-6536-4E05-93E9-314DDB2A02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" id="{006BD264-29A6-4B0F-BF37-25D6E4F231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" id="{87F85A38-9E0E-4373-A602-99784893E7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" id="{DA812079-30B2-4D2B-9E8A-8BF1272DDC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" id="{B66DEDD1-8AB6-4E74-AB03-CA5CD6820C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" id="{6DF57419-4619-428E-A892-325D982804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T23:X23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714-24B9-4DFA-9C5E-3204EBD01D62}">
  <sheetPr codeName="Hoja9"/>
  <dimension ref="A1:AR39"/>
  <sheetViews>
    <sheetView zoomScale="90" zoomScaleNormal="90" workbookViewId="0">
      <selection activeCell="AK12" sqref="AK12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7" width="3" customWidth="1"/>
    <col min="8" max="8" width="3.88671875" customWidth="1"/>
    <col min="9" max="12" width="3.21875" bestFit="1" customWidth="1"/>
    <col min="13" max="28" width="3.21875" customWidth="1"/>
    <col min="29" max="29" width="3" customWidth="1"/>
    <col min="30" max="30" width="11.77734375" customWidth="1"/>
    <col min="31" max="31" width="7.33203125" bestFit="1" customWidth="1"/>
    <col min="32" max="32" width="7" bestFit="1" customWidth="1"/>
    <col min="33" max="33" width="14.77734375" bestFit="1" customWidth="1"/>
    <col min="34" max="34" width="13.77734375" bestFit="1" customWidth="1"/>
  </cols>
  <sheetData>
    <row r="1" spans="1:44" x14ac:dyDescent="0.3">
      <c r="A1" s="60"/>
      <c r="B1" s="61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78"/>
      <c r="AF1" s="78"/>
      <c r="AG1" s="78"/>
      <c r="AH1" s="78"/>
    </row>
    <row r="2" spans="1:44" x14ac:dyDescent="0.3">
      <c r="A2" s="63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58"/>
      <c r="AE2" s="81"/>
      <c r="AF2" s="78"/>
      <c r="AG2" s="78"/>
      <c r="AH2" s="78"/>
    </row>
    <row r="3" spans="1:44" x14ac:dyDescent="0.3">
      <c r="A3" s="63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58"/>
      <c r="AE3" s="81"/>
      <c r="AF3" s="78"/>
      <c r="AG3" s="78"/>
      <c r="AH3" s="78"/>
    </row>
    <row r="4" spans="1:44" ht="14.55" customHeight="1" x14ac:dyDescent="0.3">
      <c r="A4" s="63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68"/>
      <c r="AE4" s="81"/>
      <c r="AF4" s="78"/>
      <c r="AG4" s="78"/>
      <c r="AH4" s="78"/>
    </row>
    <row r="5" spans="1:44" x14ac:dyDescent="0.3">
      <c r="A5" s="63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68"/>
      <c r="AE5" s="81"/>
      <c r="AF5" s="78"/>
      <c r="AG5" s="78"/>
      <c r="AH5" s="78"/>
    </row>
    <row r="6" spans="1:44" ht="14.55" customHeight="1" x14ac:dyDescent="0.3">
      <c r="A6" s="63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68"/>
      <c r="AE6" s="81"/>
      <c r="AF6" s="78"/>
      <c r="AG6" s="78"/>
      <c r="AH6" s="78"/>
    </row>
    <row r="7" spans="1:44" x14ac:dyDescent="0.3">
      <c r="A7" s="63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68"/>
      <c r="AE7" s="81"/>
      <c r="AF7" s="78"/>
      <c r="AG7" s="78"/>
      <c r="AH7" s="78"/>
    </row>
    <row r="8" spans="1:44" x14ac:dyDescent="0.3">
      <c r="A8" s="64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8"/>
      <c r="AF8" s="78"/>
      <c r="AG8" s="78"/>
      <c r="AH8" s="78"/>
    </row>
    <row r="9" spans="1:44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7"/>
      <c r="Z9" s="57"/>
      <c r="AA9" s="57"/>
      <c r="AB9" s="57"/>
      <c r="AC9" s="57"/>
      <c r="AD9" s="57"/>
      <c r="AE9" s="81"/>
      <c r="AF9" s="78"/>
      <c r="AG9" s="78"/>
      <c r="AH9" s="78"/>
    </row>
    <row r="10" spans="1:44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7"/>
      <c r="AD10" s="57"/>
      <c r="AE10" s="82"/>
      <c r="AF10" s="83"/>
      <c r="AG10" s="83"/>
      <c r="AH10" s="83"/>
    </row>
    <row r="11" spans="1:44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1">
        <v>4</v>
      </c>
      <c r="H11" s="60"/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60"/>
      <c r="O11" s="1">
        <v>14</v>
      </c>
      <c r="P11" s="1">
        <v>15</v>
      </c>
      <c r="Q11" s="1">
        <v>16</v>
      </c>
      <c r="R11" s="1">
        <v>17</v>
      </c>
      <c r="S11" s="1">
        <v>18</v>
      </c>
      <c r="T11" s="60"/>
      <c r="U11" s="1">
        <v>21</v>
      </c>
      <c r="V11" s="1">
        <v>22</v>
      </c>
      <c r="W11" s="1">
        <v>23</v>
      </c>
      <c r="X11" s="1">
        <v>24</v>
      </c>
      <c r="Y11" s="1">
        <v>25</v>
      </c>
      <c r="Z11" s="60"/>
      <c r="AA11" s="1">
        <v>28</v>
      </c>
      <c r="AB11" s="1">
        <v>29</v>
      </c>
      <c r="AC11" s="1">
        <v>30</v>
      </c>
      <c r="AD11" s="1" t="s">
        <v>1</v>
      </c>
      <c r="AE11" s="1" t="s">
        <v>2</v>
      </c>
      <c r="AF11" s="1" t="s">
        <v>3</v>
      </c>
      <c r="AG11" s="1" t="s">
        <v>4</v>
      </c>
      <c r="AH11" s="1" t="s">
        <v>5</v>
      </c>
      <c r="AK11" s="71" t="s">
        <v>9</v>
      </c>
      <c r="AL11" s="72"/>
      <c r="AM11" s="72"/>
      <c r="AN11" s="72"/>
      <c r="AO11" s="72"/>
      <c r="AP11" s="72"/>
      <c r="AQ11" s="72"/>
      <c r="AR11" s="73"/>
    </row>
    <row r="12" spans="1:44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1"/>
      <c r="G12" s="1"/>
      <c r="H12" s="63"/>
      <c r="I12" s="1"/>
      <c r="J12" s="1"/>
      <c r="K12" s="1"/>
      <c r="L12" s="1"/>
      <c r="M12" s="1"/>
      <c r="N12" s="63"/>
      <c r="O12" s="1"/>
      <c r="P12" s="1"/>
      <c r="Q12" s="1"/>
      <c r="R12" s="1"/>
      <c r="S12" s="1"/>
      <c r="T12" s="63"/>
      <c r="U12" s="1"/>
      <c r="V12" s="1"/>
      <c r="W12" s="1"/>
      <c r="X12" s="1"/>
      <c r="Y12" s="1"/>
      <c r="Z12" s="63"/>
      <c r="AA12" s="1"/>
      <c r="AB12" s="1"/>
      <c r="AC12" s="1"/>
      <c r="AD12" s="4">
        <f t="shared" ref="AD12:AD36" si="0">COUNTIF(D12:AB12,1)</f>
        <v>0</v>
      </c>
      <c r="AE12" s="4">
        <f t="shared" ref="AE12:AE36" si="1">COUNTIF(D12:AB12,0)</f>
        <v>0</v>
      </c>
      <c r="AF12" s="4">
        <f t="shared" ref="AF12:AF36" si="2">COUNTIF(D12:AB12,"T")</f>
        <v>0</v>
      </c>
      <c r="AG12" s="4">
        <f t="shared" ref="AG12:AG36" si="3">COUNTIF(D12:AB12,"J")</f>
        <v>0</v>
      </c>
      <c r="AH12" s="10">
        <f>SUM(AD12+AF12)/22</f>
        <v>0</v>
      </c>
      <c r="AK12" s="17"/>
      <c r="AL12" s="14">
        <v>1</v>
      </c>
      <c r="AM12" s="3" t="s">
        <v>10</v>
      </c>
      <c r="AN12" s="8"/>
      <c r="AO12" s="8"/>
      <c r="AR12" s="18"/>
    </row>
    <row r="13" spans="1:44" s="3" customFormat="1" x14ac:dyDescent="0.3">
      <c r="A13" s="6">
        <v>2</v>
      </c>
      <c r="B13" s="47">
        <v>6</v>
      </c>
      <c r="C13" s="53" t="s">
        <v>58</v>
      </c>
      <c r="D13" s="1"/>
      <c r="E13" s="4"/>
      <c r="F13" s="1"/>
      <c r="G13" s="1"/>
      <c r="H13" s="63"/>
      <c r="I13" s="1"/>
      <c r="J13" s="1"/>
      <c r="K13" s="1"/>
      <c r="L13" s="1"/>
      <c r="M13" s="1"/>
      <c r="N13" s="63"/>
      <c r="O13" s="1"/>
      <c r="P13" s="1"/>
      <c r="Q13" s="1"/>
      <c r="R13" s="1"/>
      <c r="S13" s="1"/>
      <c r="T13" s="63"/>
      <c r="U13" s="1"/>
      <c r="V13" s="1"/>
      <c r="W13" s="1"/>
      <c r="X13" s="1"/>
      <c r="Y13" s="1"/>
      <c r="Z13" s="63"/>
      <c r="AA13" s="1"/>
      <c r="AB13" s="1"/>
      <c r="AC13" s="1"/>
      <c r="AD13" s="4">
        <f t="shared" si="0"/>
        <v>0</v>
      </c>
      <c r="AE13" s="4">
        <f t="shared" si="1"/>
        <v>0</v>
      </c>
      <c r="AF13" s="4">
        <f t="shared" si="2"/>
        <v>0</v>
      </c>
      <c r="AG13" s="4">
        <f t="shared" si="3"/>
        <v>0</v>
      </c>
      <c r="AH13" s="10">
        <f t="shared" ref="AH13:AH36" si="4">SUM(AD13+AF13)/22</f>
        <v>0</v>
      </c>
      <c r="AK13" s="17"/>
      <c r="AL13" s="15">
        <v>0</v>
      </c>
      <c r="AM13" s="3" t="s">
        <v>14</v>
      </c>
      <c r="AR13" s="18"/>
    </row>
    <row r="14" spans="1:44" s="3" customFormat="1" x14ac:dyDescent="0.3">
      <c r="A14" s="6">
        <v>3</v>
      </c>
      <c r="B14" s="47">
        <v>6</v>
      </c>
      <c r="C14" s="53" t="s">
        <v>59</v>
      </c>
      <c r="D14" s="1"/>
      <c r="E14" s="4"/>
      <c r="F14" s="4"/>
      <c r="G14" s="4"/>
      <c r="H14" s="63"/>
      <c r="I14" s="1"/>
      <c r="J14" s="1"/>
      <c r="K14" s="1"/>
      <c r="L14" s="1"/>
      <c r="M14" s="1"/>
      <c r="N14" s="63"/>
      <c r="O14" s="1"/>
      <c r="P14" s="1"/>
      <c r="Q14" s="1"/>
      <c r="R14" s="1"/>
      <c r="S14" s="1"/>
      <c r="T14" s="63"/>
      <c r="U14" s="1"/>
      <c r="V14" s="1"/>
      <c r="W14" s="1"/>
      <c r="X14" s="1"/>
      <c r="Y14" s="1"/>
      <c r="Z14" s="63"/>
      <c r="AA14" s="1"/>
      <c r="AB14" s="1"/>
      <c r="AC14" s="1"/>
      <c r="AD14" s="4">
        <f t="shared" si="0"/>
        <v>0</v>
      </c>
      <c r="AE14" s="4">
        <f t="shared" si="1"/>
        <v>0</v>
      </c>
      <c r="AF14" s="4">
        <f t="shared" si="2"/>
        <v>0</v>
      </c>
      <c r="AG14" s="4">
        <f t="shared" si="3"/>
        <v>0</v>
      </c>
      <c r="AH14" s="10">
        <f t="shared" si="4"/>
        <v>0</v>
      </c>
      <c r="AK14" s="17"/>
      <c r="AL14" s="16" t="s">
        <v>11</v>
      </c>
      <c r="AM14" s="3" t="s">
        <v>12</v>
      </c>
      <c r="AR14" s="18"/>
    </row>
    <row r="15" spans="1:44" ht="15" thickBot="1" x14ac:dyDescent="0.35">
      <c r="A15" s="6">
        <v>4</v>
      </c>
      <c r="B15" s="47">
        <v>7</v>
      </c>
      <c r="C15" s="53" t="s">
        <v>60</v>
      </c>
      <c r="D15" s="1"/>
      <c r="E15" s="4"/>
      <c r="F15" s="4"/>
      <c r="G15" s="4"/>
      <c r="H15" s="63"/>
      <c r="I15" s="4"/>
      <c r="J15" s="4"/>
      <c r="K15" s="4"/>
      <c r="L15" s="1"/>
      <c r="M15" s="1"/>
      <c r="N15" s="63"/>
      <c r="O15" s="1"/>
      <c r="P15" s="1"/>
      <c r="Q15" s="1"/>
      <c r="R15" s="1"/>
      <c r="S15" s="1"/>
      <c r="T15" s="63"/>
      <c r="U15" s="1"/>
      <c r="V15" s="1"/>
      <c r="W15" s="1"/>
      <c r="X15" s="1"/>
      <c r="Y15" s="1"/>
      <c r="Z15" s="63"/>
      <c r="AA15" s="1"/>
      <c r="AB15" s="1"/>
      <c r="AC15" s="1"/>
      <c r="AD15" s="4">
        <f t="shared" si="0"/>
        <v>0</v>
      </c>
      <c r="AE15" s="4">
        <f t="shared" si="1"/>
        <v>0</v>
      </c>
      <c r="AF15" s="4">
        <f t="shared" si="2"/>
        <v>0</v>
      </c>
      <c r="AG15" s="4">
        <f t="shared" si="3"/>
        <v>0</v>
      </c>
      <c r="AH15" s="10">
        <f t="shared" si="4"/>
        <v>0</v>
      </c>
      <c r="AK15" s="19"/>
      <c r="AL15" s="20" t="s">
        <v>6</v>
      </c>
      <c r="AM15" s="21" t="s">
        <v>13</v>
      </c>
      <c r="AN15" s="22"/>
      <c r="AO15" s="22"/>
      <c r="AP15" s="22"/>
      <c r="AQ15" s="22"/>
      <c r="AR15" s="23"/>
    </row>
    <row r="16" spans="1:44" x14ac:dyDescent="0.3">
      <c r="A16" s="6">
        <v>5</v>
      </c>
      <c r="B16" s="47">
        <v>7</v>
      </c>
      <c r="C16" s="53" t="s">
        <v>61</v>
      </c>
      <c r="D16" s="1"/>
      <c r="E16" s="1"/>
      <c r="F16" s="4"/>
      <c r="G16" s="4"/>
      <c r="H16" s="63"/>
      <c r="I16" s="4"/>
      <c r="J16" s="4"/>
      <c r="K16" s="4"/>
      <c r="L16" s="1"/>
      <c r="M16" s="1"/>
      <c r="N16" s="63"/>
      <c r="O16" s="1"/>
      <c r="P16" s="1"/>
      <c r="Q16" s="1"/>
      <c r="R16" s="1"/>
      <c r="S16" s="1"/>
      <c r="T16" s="63"/>
      <c r="U16" s="1"/>
      <c r="V16" s="1"/>
      <c r="W16" s="1"/>
      <c r="X16" s="1"/>
      <c r="Y16" s="1"/>
      <c r="Z16" s="63"/>
      <c r="AA16" s="1"/>
      <c r="AB16" s="1"/>
      <c r="AC16" s="1"/>
      <c r="AD16" s="4">
        <f t="shared" si="0"/>
        <v>0</v>
      </c>
      <c r="AE16" s="4">
        <f t="shared" si="1"/>
        <v>0</v>
      </c>
      <c r="AF16" s="4">
        <f t="shared" si="2"/>
        <v>0</v>
      </c>
      <c r="AG16" s="4">
        <f t="shared" si="3"/>
        <v>0</v>
      </c>
      <c r="AH16" s="10">
        <f t="shared" si="4"/>
        <v>0</v>
      </c>
      <c r="AL16" t="s">
        <v>50</v>
      </c>
      <c r="AM16" s="3" t="s">
        <v>51</v>
      </c>
    </row>
    <row r="17" spans="1:42" x14ac:dyDescent="0.3">
      <c r="A17" s="6">
        <v>6</v>
      </c>
      <c r="B17" s="47">
        <v>7</v>
      </c>
      <c r="C17" s="53" t="s">
        <v>62</v>
      </c>
      <c r="D17" s="1"/>
      <c r="E17" s="1"/>
      <c r="F17" s="4"/>
      <c r="G17" s="4"/>
      <c r="H17" s="63"/>
      <c r="I17" s="4"/>
      <c r="J17" s="4"/>
      <c r="K17" s="4"/>
      <c r="L17" s="1"/>
      <c r="M17" s="1"/>
      <c r="N17" s="63"/>
      <c r="O17" s="1"/>
      <c r="P17" s="1"/>
      <c r="Q17" s="1"/>
      <c r="R17" s="1"/>
      <c r="S17" s="1"/>
      <c r="T17" s="63"/>
      <c r="U17" s="1"/>
      <c r="V17" s="1"/>
      <c r="W17" s="1"/>
      <c r="X17" s="1"/>
      <c r="Y17" s="1"/>
      <c r="Z17" s="63"/>
      <c r="AA17" s="1"/>
      <c r="AB17" s="1"/>
      <c r="AC17" s="1"/>
      <c r="AD17" s="4">
        <f t="shared" si="0"/>
        <v>0</v>
      </c>
      <c r="AE17" s="4">
        <f t="shared" si="1"/>
        <v>0</v>
      </c>
      <c r="AF17" s="4">
        <f t="shared" si="2"/>
        <v>0</v>
      </c>
      <c r="AG17" s="4">
        <f t="shared" si="3"/>
        <v>0</v>
      </c>
      <c r="AH17" s="10">
        <f t="shared" si="4"/>
        <v>0</v>
      </c>
    </row>
    <row r="18" spans="1:42" x14ac:dyDescent="0.3">
      <c r="A18" s="6">
        <v>7</v>
      </c>
      <c r="B18" s="47">
        <v>7</v>
      </c>
      <c r="C18" s="53" t="s">
        <v>63</v>
      </c>
      <c r="D18" s="1"/>
      <c r="E18" s="1"/>
      <c r="F18" s="4"/>
      <c r="G18" s="4"/>
      <c r="H18" s="63"/>
      <c r="I18" s="4"/>
      <c r="J18" s="4"/>
      <c r="K18" s="4"/>
      <c r="L18" s="1"/>
      <c r="M18" s="1"/>
      <c r="N18" s="63"/>
      <c r="O18" s="1"/>
      <c r="P18" s="1"/>
      <c r="Q18" s="1"/>
      <c r="R18" s="1"/>
      <c r="S18" s="1"/>
      <c r="T18" s="63"/>
      <c r="U18" s="1"/>
      <c r="V18" s="1"/>
      <c r="W18" s="1"/>
      <c r="X18" s="1"/>
      <c r="Y18" s="1"/>
      <c r="Z18" s="63"/>
      <c r="AA18" s="1"/>
      <c r="AB18" s="1"/>
      <c r="AC18" s="1"/>
      <c r="AD18" s="4">
        <f t="shared" si="0"/>
        <v>0</v>
      </c>
      <c r="AE18" s="4">
        <f t="shared" si="1"/>
        <v>0</v>
      </c>
      <c r="AF18" s="4">
        <f t="shared" si="2"/>
        <v>0</v>
      </c>
      <c r="AG18" s="4">
        <f t="shared" si="3"/>
        <v>0</v>
      </c>
      <c r="AH18" s="10">
        <f t="shared" si="4"/>
        <v>0</v>
      </c>
      <c r="AM18" s="8"/>
      <c r="AO18" s="3"/>
      <c r="AP18" s="3"/>
    </row>
    <row r="19" spans="1:42" x14ac:dyDescent="0.3">
      <c r="A19" s="6">
        <v>8</v>
      </c>
      <c r="B19" s="47">
        <v>7</v>
      </c>
      <c r="C19" s="53" t="s">
        <v>64</v>
      </c>
      <c r="D19" s="1"/>
      <c r="E19" s="1"/>
      <c r="F19" s="4"/>
      <c r="G19" s="4"/>
      <c r="H19" s="63"/>
      <c r="I19" s="4"/>
      <c r="J19" s="4"/>
      <c r="K19" s="4"/>
      <c r="L19" s="1"/>
      <c r="M19" s="1"/>
      <c r="N19" s="63"/>
      <c r="O19" s="1"/>
      <c r="P19" s="1"/>
      <c r="Q19" s="1"/>
      <c r="R19" s="1"/>
      <c r="S19" s="1"/>
      <c r="T19" s="63"/>
      <c r="U19" s="1"/>
      <c r="V19" s="1"/>
      <c r="W19" s="1"/>
      <c r="X19" s="1"/>
      <c r="Y19" s="1"/>
      <c r="Z19" s="63"/>
      <c r="AA19" s="1"/>
      <c r="AB19" s="1"/>
      <c r="AC19" s="1"/>
      <c r="AD19" s="4">
        <f t="shared" si="0"/>
        <v>0</v>
      </c>
      <c r="AE19" s="4">
        <f t="shared" si="1"/>
        <v>0</v>
      </c>
      <c r="AF19" s="4">
        <f t="shared" si="2"/>
        <v>0</v>
      </c>
      <c r="AG19" s="4">
        <f t="shared" si="3"/>
        <v>0</v>
      </c>
      <c r="AH19" s="10">
        <f t="shared" si="4"/>
        <v>0</v>
      </c>
      <c r="AM19" s="8"/>
    </row>
    <row r="20" spans="1:42" x14ac:dyDescent="0.3">
      <c r="A20" s="6">
        <v>9</v>
      </c>
      <c r="B20" s="47">
        <v>7</v>
      </c>
      <c r="C20" s="53" t="s">
        <v>65</v>
      </c>
      <c r="D20" s="1"/>
      <c r="E20" s="1"/>
      <c r="F20" s="4"/>
      <c r="G20" s="4"/>
      <c r="H20" s="63"/>
      <c r="I20" s="4"/>
      <c r="J20" s="4"/>
      <c r="K20" s="4"/>
      <c r="L20" s="1"/>
      <c r="M20" s="1"/>
      <c r="N20" s="63"/>
      <c r="O20" s="1"/>
      <c r="P20" s="1"/>
      <c r="Q20" s="1"/>
      <c r="R20" s="1"/>
      <c r="S20" s="1"/>
      <c r="T20" s="63"/>
      <c r="U20" s="1"/>
      <c r="V20" s="1"/>
      <c r="W20" s="1"/>
      <c r="X20" s="1"/>
      <c r="Y20" s="1"/>
      <c r="Z20" s="63"/>
      <c r="AA20" s="1"/>
      <c r="AB20" s="1"/>
      <c r="AC20" s="1"/>
      <c r="AD20" s="4">
        <f t="shared" si="0"/>
        <v>0</v>
      </c>
      <c r="AE20" s="4">
        <f t="shared" si="1"/>
        <v>0</v>
      </c>
      <c r="AF20" s="4">
        <f t="shared" si="2"/>
        <v>0</v>
      </c>
      <c r="AG20" s="4">
        <f t="shared" si="3"/>
        <v>0</v>
      </c>
      <c r="AH20" s="10">
        <f t="shared" si="4"/>
        <v>0</v>
      </c>
      <c r="AM20" s="8"/>
      <c r="AN20" s="3"/>
      <c r="AO20" s="3"/>
      <c r="AP20" s="3"/>
    </row>
    <row r="21" spans="1:42" x14ac:dyDescent="0.3">
      <c r="A21" s="6">
        <v>10</v>
      </c>
      <c r="B21" s="47">
        <v>7</v>
      </c>
      <c r="C21" s="53" t="s">
        <v>66</v>
      </c>
      <c r="D21" s="1"/>
      <c r="E21" s="1"/>
      <c r="F21" s="4"/>
      <c r="G21" s="4"/>
      <c r="H21" s="63"/>
      <c r="I21" s="4"/>
      <c r="J21" s="4"/>
      <c r="K21" s="4"/>
      <c r="L21" s="1"/>
      <c r="M21" s="1"/>
      <c r="N21" s="63"/>
      <c r="O21" s="1"/>
      <c r="P21" s="1"/>
      <c r="Q21" s="1"/>
      <c r="R21" s="1"/>
      <c r="S21" s="1"/>
      <c r="T21" s="63"/>
      <c r="U21" s="1"/>
      <c r="V21" s="1"/>
      <c r="W21" s="1"/>
      <c r="X21" s="1"/>
      <c r="Y21" s="1"/>
      <c r="Z21" s="63"/>
      <c r="AA21" s="1"/>
      <c r="AB21" s="1"/>
      <c r="AC21" s="1"/>
      <c r="AD21" s="4">
        <f t="shared" si="0"/>
        <v>0</v>
      </c>
      <c r="AE21" s="4">
        <f t="shared" si="1"/>
        <v>0</v>
      </c>
      <c r="AF21" s="4">
        <f t="shared" si="2"/>
        <v>0</v>
      </c>
      <c r="AG21" s="4">
        <f t="shared" si="3"/>
        <v>0</v>
      </c>
      <c r="AH21" s="10">
        <f t="shared" si="4"/>
        <v>0</v>
      </c>
      <c r="AM21" s="7"/>
    </row>
    <row r="22" spans="1:42" x14ac:dyDescent="0.3">
      <c r="A22" s="6">
        <v>11</v>
      </c>
      <c r="B22" s="47">
        <v>8</v>
      </c>
      <c r="C22" s="53" t="s">
        <v>67</v>
      </c>
      <c r="D22" s="1"/>
      <c r="E22" s="1"/>
      <c r="F22" s="4"/>
      <c r="G22" s="4"/>
      <c r="H22" s="63"/>
      <c r="I22" s="4"/>
      <c r="J22" s="4"/>
      <c r="K22" s="4"/>
      <c r="L22" s="1"/>
      <c r="M22" s="1"/>
      <c r="N22" s="63"/>
      <c r="O22" s="1"/>
      <c r="P22" s="1"/>
      <c r="Q22" s="1"/>
      <c r="R22" s="1"/>
      <c r="S22" s="1"/>
      <c r="T22" s="63"/>
      <c r="U22" s="1"/>
      <c r="V22" s="1"/>
      <c r="W22" s="1"/>
      <c r="X22" s="1"/>
      <c r="Y22" s="1"/>
      <c r="Z22" s="63"/>
      <c r="AA22" s="1"/>
      <c r="AB22" s="1"/>
      <c r="AC22" s="1"/>
      <c r="AD22" s="4">
        <f t="shared" si="0"/>
        <v>0</v>
      </c>
      <c r="AE22" s="4">
        <f t="shared" si="1"/>
        <v>0</v>
      </c>
      <c r="AF22" s="4">
        <f t="shared" si="2"/>
        <v>0</v>
      </c>
      <c r="AG22" s="4">
        <f t="shared" si="3"/>
        <v>0</v>
      </c>
      <c r="AH22" s="10">
        <f t="shared" si="4"/>
        <v>0</v>
      </c>
    </row>
    <row r="23" spans="1:42" x14ac:dyDescent="0.3">
      <c r="A23" s="6">
        <v>12</v>
      </c>
      <c r="B23" s="47">
        <v>8</v>
      </c>
      <c r="C23" s="53" t="s">
        <v>68</v>
      </c>
      <c r="D23" s="1"/>
      <c r="E23" s="1"/>
      <c r="F23" s="4"/>
      <c r="G23" s="4"/>
      <c r="H23" s="63"/>
      <c r="I23" s="4"/>
      <c r="J23" s="4"/>
      <c r="K23" s="4"/>
      <c r="L23" s="1"/>
      <c r="M23" s="1"/>
      <c r="N23" s="63"/>
      <c r="O23" s="1"/>
      <c r="P23" s="1"/>
      <c r="Q23" s="1"/>
      <c r="R23" s="1"/>
      <c r="S23" s="1"/>
      <c r="T23" s="63"/>
      <c r="U23" s="1"/>
      <c r="V23" s="1"/>
      <c r="W23" s="1"/>
      <c r="X23" s="1"/>
      <c r="Y23" s="1"/>
      <c r="Z23" s="63"/>
      <c r="AA23" s="1"/>
      <c r="AB23" s="1"/>
      <c r="AC23" s="1"/>
      <c r="AD23" s="4">
        <f t="shared" si="0"/>
        <v>0</v>
      </c>
      <c r="AE23" s="4">
        <f t="shared" si="1"/>
        <v>0</v>
      </c>
      <c r="AF23" s="4">
        <f t="shared" si="2"/>
        <v>0</v>
      </c>
      <c r="AG23" s="4">
        <f t="shared" si="3"/>
        <v>0</v>
      </c>
      <c r="AH23" s="10">
        <f t="shared" si="4"/>
        <v>0</v>
      </c>
    </row>
    <row r="24" spans="1:42" x14ac:dyDescent="0.3">
      <c r="A24" s="6">
        <v>13</v>
      </c>
      <c r="B24" s="47">
        <v>8</v>
      </c>
      <c r="C24" s="53" t="s">
        <v>69</v>
      </c>
      <c r="D24" s="4"/>
      <c r="E24" s="4"/>
      <c r="F24" s="4"/>
      <c r="G24" s="4"/>
      <c r="H24" s="63"/>
      <c r="I24" s="4"/>
      <c r="J24" s="4"/>
      <c r="K24" s="4"/>
      <c r="L24" s="4"/>
      <c r="M24" s="4"/>
      <c r="N24" s="63"/>
      <c r="O24" s="4"/>
      <c r="P24" s="4"/>
      <c r="Q24" s="4"/>
      <c r="R24" s="4"/>
      <c r="S24" s="4"/>
      <c r="T24" s="63"/>
      <c r="U24" s="4"/>
      <c r="V24" s="4"/>
      <c r="W24" s="4"/>
      <c r="X24" s="4"/>
      <c r="Y24" s="4"/>
      <c r="Z24" s="63"/>
      <c r="AA24" s="4"/>
      <c r="AB24" s="4"/>
      <c r="AC24" s="1"/>
      <c r="AD24" s="4">
        <f t="shared" si="0"/>
        <v>0</v>
      </c>
      <c r="AE24" s="4">
        <f t="shared" si="1"/>
        <v>0</v>
      </c>
      <c r="AF24" s="4">
        <f t="shared" si="2"/>
        <v>0</v>
      </c>
      <c r="AG24" s="4">
        <f t="shared" si="3"/>
        <v>0</v>
      </c>
      <c r="AH24" s="10">
        <f t="shared" si="4"/>
        <v>0</v>
      </c>
    </row>
    <row r="25" spans="1:42" x14ac:dyDescent="0.3">
      <c r="A25" s="6">
        <v>14</v>
      </c>
      <c r="B25" s="47">
        <v>8</v>
      </c>
      <c r="C25" s="53" t="s">
        <v>70</v>
      </c>
      <c r="D25" s="4"/>
      <c r="E25" s="4"/>
      <c r="F25" s="4"/>
      <c r="G25" s="4"/>
      <c r="H25" s="63"/>
      <c r="I25" s="4"/>
      <c r="J25" s="4"/>
      <c r="K25" s="4"/>
      <c r="L25" s="4"/>
      <c r="M25" s="4"/>
      <c r="N25" s="63"/>
      <c r="O25" s="4"/>
      <c r="P25" s="4"/>
      <c r="Q25" s="4"/>
      <c r="R25" s="4"/>
      <c r="S25" s="4"/>
      <c r="T25" s="63"/>
      <c r="U25" s="4"/>
      <c r="V25" s="4"/>
      <c r="W25" s="4"/>
      <c r="X25" s="4"/>
      <c r="Y25" s="4"/>
      <c r="Z25" s="63"/>
      <c r="AA25" s="4"/>
      <c r="AB25" s="4"/>
      <c r="AC25" s="1"/>
      <c r="AD25" s="4">
        <f t="shared" si="0"/>
        <v>0</v>
      </c>
      <c r="AE25" s="4">
        <f t="shared" si="1"/>
        <v>0</v>
      </c>
      <c r="AF25" s="4">
        <f t="shared" si="2"/>
        <v>0</v>
      </c>
      <c r="AG25" s="4">
        <f t="shared" si="3"/>
        <v>0</v>
      </c>
      <c r="AH25" s="10">
        <f t="shared" si="4"/>
        <v>0</v>
      </c>
    </row>
    <row r="26" spans="1:42" x14ac:dyDescent="0.3">
      <c r="A26" s="6">
        <v>15</v>
      </c>
      <c r="B26" s="47">
        <v>8</v>
      </c>
      <c r="C26" s="53" t="s">
        <v>71</v>
      </c>
      <c r="D26" s="4"/>
      <c r="E26" s="4"/>
      <c r="F26" s="4"/>
      <c r="G26" s="4"/>
      <c r="H26" s="63"/>
      <c r="I26" s="4"/>
      <c r="J26" s="4"/>
      <c r="K26" s="4"/>
      <c r="L26" s="4"/>
      <c r="M26" s="4"/>
      <c r="N26" s="63"/>
      <c r="O26" s="4"/>
      <c r="P26" s="4"/>
      <c r="Q26" s="4"/>
      <c r="R26" s="4"/>
      <c r="S26" s="4"/>
      <c r="T26" s="63"/>
      <c r="U26" s="4"/>
      <c r="V26" s="4"/>
      <c r="W26" s="4"/>
      <c r="X26" s="4"/>
      <c r="Y26" s="4"/>
      <c r="Z26" s="63"/>
      <c r="AA26" s="4"/>
      <c r="AB26" s="4"/>
      <c r="AC26" s="1"/>
      <c r="AD26" s="4">
        <f t="shared" si="0"/>
        <v>0</v>
      </c>
      <c r="AE26" s="4">
        <f t="shared" si="1"/>
        <v>0</v>
      </c>
      <c r="AF26" s="4">
        <f t="shared" si="2"/>
        <v>0</v>
      </c>
      <c r="AG26" s="4">
        <f t="shared" si="3"/>
        <v>0</v>
      </c>
      <c r="AH26" s="10">
        <f t="shared" si="4"/>
        <v>0</v>
      </c>
    </row>
    <row r="27" spans="1:42" x14ac:dyDescent="0.3">
      <c r="A27" s="6">
        <v>16</v>
      </c>
      <c r="B27" s="54">
        <v>9</v>
      </c>
      <c r="C27" s="53" t="s">
        <v>72</v>
      </c>
      <c r="D27" s="4"/>
      <c r="E27" s="4"/>
      <c r="F27" s="4"/>
      <c r="G27" s="4"/>
      <c r="H27" s="63"/>
      <c r="I27" s="4"/>
      <c r="J27" s="4"/>
      <c r="K27" s="4"/>
      <c r="L27" s="4"/>
      <c r="M27" s="4"/>
      <c r="N27" s="63"/>
      <c r="O27" s="4"/>
      <c r="P27" s="4"/>
      <c r="Q27" s="4"/>
      <c r="R27" s="4"/>
      <c r="S27" s="4"/>
      <c r="T27" s="63"/>
      <c r="U27" s="4"/>
      <c r="V27" s="4"/>
      <c r="W27" s="4"/>
      <c r="X27" s="4"/>
      <c r="Y27" s="4"/>
      <c r="Z27" s="63"/>
      <c r="AA27" s="4"/>
      <c r="AB27" s="4"/>
      <c r="AC27" s="1"/>
      <c r="AD27" s="4">
        <f t="shared" si="0"/>
        <v>0</v>
      </c>
      <c r="AE27" s="4">
        <f t="shared" si="1"/>
        <v>0</v>
      </c>
      <c r="AF27" s="4">
        <f t="shared" si="2"/>
        <v>0</v>
      </c>
      <c r="AG27" s="4">
        <f t="shared" si="3"/>
        <v>0</v>
      </c>
      <c r="AH27" s="10">
        <f t="shared" si="4"/>
        <v>0</v>
      </c>
    </row>
    <row r="28" spans="1:42" x14ac:dyDescent="0.3">
      <c r="A28" s="6">
        <v>17</v>
      </c>
      <c r="B28" s="54">
        <v>9</v>
      </c>
      <c r="C28" s="53" t="s">
        <v>73</v>
      </c>
      <c r="D28" s="4"/>
      <c r="E28" s="4"/>
      <c r="F28" s="4"/>
      <c r="G28" s="4"/>
      <c r="H28" s="63"/>
      <c r="I28" s="4"/>
      <c r="J28" s="4"/>
      <c r="K28" s="4"/>
      <c r="L28" s="4"/>
      <c r="M28" s="4"/>
      <c r="N28" s="63"/>
      <c r="O28" s="4"/>
      <c r="P28" s="4"/>
      <c r="Q28" s="4"/>
      <c r="R28" s="4"/>
      <c r="S28" s="4"/>
      <c r="T28" s="63"/>
      <c r="U28" s="4"/>
      <c r="V28" s="4"/>
      <c r="W28" s="4"/>
      <c r="X28" s="4"/>
      <c r="Y28" s="4"/>
      <c r="Z28" s="63"/>
      <c r="AA28" s="4"/>
      <c r="AB28" s="4"/>
      <c r="AC28" s="1"/>
      <c r="AD28" s="4">
        <f t="shared" si="0"/>
        <v>0</v>
      </c>
      <c r="AE28" s="4">
        <f t="shared" si="1"/>
        <v>0</v>
      </c>
      <c r="AF28" s="4">
        <f t="shared" si="2"/>
        <v>0</v>
      </c>
      <c r="AG28" s="4">
        <f t="shared" si="3"/>
        <v>0</v>
      </c>
      <c r="AH28" s="10">
        <f t="shared" si="4"/>
        <v>0</v>
      </c>
    </row>
    <row r="29" spans="1:42" x14ac:dyDescent="0.3">
      <c r="A29" s="6">
        <v>18</v>
      </c>
      <c r="B29" s="54">
        <v>9</v>
      </c>
      <c r="C29" s="53" t="s">
        <v>74</v>
      </c>
      <c r="D29" s="4"/>
      <c r="E29" s="4"/>
      <c r="F29" s="4"/>
      <c r="G29" s="4"/>
      <c r="H29" s="63"/>
      <c r="I29" s="4"/>
      <c r="J29" s="4"/>
      <c r="K29" s="4"/>
      <c r="L29" s="4"/>
      <c r="M29" s="4"/>
      <c r="N29" s="63"/>
      <c r="O29" s="4"/>
      <c r="P29" s="4"/>
      <c r="Q29" s="4"/>
      <c r="R29" s="4"/>
      <c r="S29" s="4"/>
      <c r="T29" s="63"/>
      <c r="U29" s="4"/>
      <c r="V29" s="4"/>
      <c r="W29" s="4"/>
      <c r="X29" s="4"/>
      <c r="Y29" s="4"/>
      <c r="Z29" s="63"/>
      <c r="AA29" s="4"/>
      <c r="AB29" s="4"/>
      <c r="AC29" s="1"/>
      <c r="AD29" s="4">
        <f t="shared" si="0"/>
        <v>0</v>
      </c>
      <c r="AE29" s="4">
        <f t="shared" si="1"/>
        <v>0</v>
      </c>
      <c r="AF29" s="4">
        <f t="shared" si="2"/>
        <v>0</v>
      </c>
      <c r="AG29" s="4">
        <f t="shared" si="3"/>
        <v>0</v>
      </c>
      <c r="AH29" s="10">
        <f t="shared" si="4"/>
        <v>0</v>
      </c>
    </row>
    <row r="30" spans="1:42" x14ac:dyDescent="0.3">
      <c r="A30" s="6">
        <v>19</v>
      </c>
      <c r="B30" s="54">
        <v>9</v>
      </c>
      <c r="C30" s="53" t="s">
        <v>75</v>
      </c>
      <c r="D30" s="4"/>
      <c r="E30" s="4"/>
      <c r="F30" s="4"/>
      <c r="G30" s="4"/>
      <c r="H30" s="63"/>
      <c r="I30" s="4"/>
      <c r="J30" s="4"/>
      <c r="K30" s="4"/>
      <c r="L30" s="4"/>
      <c r="M30" s="4"/>
      <c r="N30" s="63"/>
      <c r="O30" s="4"/>
      <c r="P30" s="4"/>
      <c r="Q30" s="4"/>
      <c r="R30" s="4"/>
      <c r="S30" s="4"/>
      <c r="T30" s="63"/>
      <c r="U30" s="4"/>
      <c r="V30" s="4"/>
      <c r="W30" s="4"/>
      <c r="X30" s="4"/>
      <c r="Y30" s="4"/>
      <c r="Z30" s="63"/>
      <c r="AA30" s="4"/>
      <c r="AB30" s="4"/>
      <c r="AC30" s="1"/>
      <c r="AD30" s="4">
        <f t="shared" si="0"/>
        <v>0</v>
      </c>
      <c r="AE30" s="4">
        <f t="shared" si="1"/>
        <v>0</v>
      </c>
      <c r="AF30" s="4">
        <f t="shared" si="2"/>
        <v>0</v>
      </c>
      <c r="AG30" s="4">
        <f t="shared" si="3"/>
        <v>0</v>
      </c>
      <c r="AH30" s="10">
        <f t="shared" si="4"/>
        <v>0</v>
      </c>
    </row>
    <row r="31" spans="1:42" x14ac:dyDescent="0.3">
      <c r="A31" s="6">
        <v>20</v>
      </c>
      <c r="B31" s="54">
        <v>9</v>
      </c>
      <c r="C31" s="53" t="s">
        <v>76</v>
      </c>
      <c r="D31" s="4"/>
      <c r="E31" s="4"/>
      <c r="F31" s="4"/>
      <c r="G31" s="4"/>
      <c r="H31" s="63"/>
      <c r="I31" s="4"/>
      <c r="J31" s="4"/>
      <c r="K31" s="4"/>
      <c r="L31" s="4"/>
      <c r="M31" s="4"/>
      <c r="N31" s="63"/>
      <c r="O31" s="4"/>
      <c r="P31" s="4"/>
      <c r="Q31" s="4"/>
      <c r="R31" s="4"/>
      <c r="S31" s="4"/>
      <c r="T31" s="63"/>
      <c r="U31" s="4"/>
      <c r="V31" s="4"/>
      <c r="W31" s="4"/>
      <c r="X31" s="4"/>
      <c r="Y31" s="4"/>
      <c r="Z31" s="63"/>
      <c r="AA31" s="4"/>
      <c r="AB31" s="4"/>
      <c r="AC31" s="1"/>
      <c r="AD31" s="4">
        <f t="shared" si="0"/>
        <v>0</v>
      </c>
      <c r="AE31" s="4">
        <f t="shared" si="1"/>
        <v>0</v>
      </c>
      <c r="AF31" s="4">
        <f t="shared" si="2"/>
        <v>0</v>
      </c>
      <c r="AG31" s="4">
        <f t="shared" si="3"/>
        <v>0</v>
      </c>
      <c r="AH31" s="10">
        <f t="shared" si="4"/>
        <v>0</v>
      </c>
    </row>
    <row r="32" spans="1:42" x14ac:dyDescent="0.3">
      <c r="A32" s="6">
        <v>21</v>
      </c>
      <c r="B32" s="54">
        <v>10</v>
      </c>
      <c r="C32" s="53" t="s">
        <v>77</v>
      </c>
      <c r="D32" s="4"/>
      <c r="E32" s="4"/>
      <c r="F32" s="4"/>
      <c r="G32" s="4"/>
      <c r="H32" s="63"/>
      <c r="I32" s="4"/>
      <c r="J32" s="4"/>
      <c r="K32" s="4"/>
      <c r="L32" s="4"/>
      <c r="M32" s="4"/>
      <c r="N32" s="63"/>
      <c r="O32" s="4"/>
      <c r="P32" s="4"/>
      <c r="Q32" s="4"/>
      <c r="R32" s="4"/>
      <c r="S32" s="4"/>
      <c r="T32" s="63"/>
      <c r="U32" s="4"/>
      <c r="V32" s="4"/>
      <c r="W32" s="4"/>
      <c r="X32" s="4"/>
      <c r="Y32" s="4"/>
      <c r="Z32" s="63"/>
      <c r="AA32" s="4"/>
      <c r="AB32" s="4"/>
      <c r="AC32" s="1"/>
      <c r="AD32" s="4">
        <f t="shared" si="0"/>
        <v>0</v>
      </c>
      <c r="AE32" s="4">
        <f t="shared" si="1"/>
        <v>0</v>
      </c>
      <c r="AF32" s="4">
        <f t="shared" si="2"/>
        <v>0</v>
      </c>
      <c r="AG32" s="4">
        <f t="shared" si="3"/>
        <v>0</v>
      </c>
      <c r="AH32" s="10">
        <f t="shared" si="4"/>
        <v>0</v>
      </c>
    </row>
    <row r="33" spans="1:34" x14ac:dyDescent="0.3">
      <c r="A33" s="6">
        <v>22</v>
      </c>
      <c r="B33" s="54">
        <v>10</v>
      </c>
      <c r="C33" s="53" t="s">
        <v>78</v>
      </c>
      <c r="D33" s="4"/>
      <c r="E33" s="4"/>
      <c r="F33" s="4"/>
      <c r="G33" s="4"/>
      <c r="H33" s="63"/>
      <c r="I33" s="4"/>
      <c r="J33" s="4"/>
      <c r="K33" s="4"/>
      <c r="L33" s="4"/>
      <c r="M33" s="4"/>
      <c r="N33" s="63"/>
      <c r="O33" s="4"/>
      <c r="P33" s="4"/>
      <c r="Q33" s="4"/>
      <c r="R33" s="4"/>
      <c r="S33" s="4"/>
      <c r="T33" s="63"/>
      <c r="U33" s="4"/>
      <c r="V33" s="4"/>
      <c r="W33" s="4"/>
      <c r="X33" s="4"/>
      <c r="Y33" s="4"/>
      <c r="Z33" s="63"/>
      <c r="AA33" s="4"/>
      <c r="AB33" s="4"/>
      <c r="AC33" s="1"/>
      <c r="AD33" s="4">
        <f t="shared" si="0"/>
        <v>0</v>
      </c>
      <c r="AE33" s="4">
        <f t="shared" si="1"/>
        <v>0</v>
      </c>
      <c r="AF33" s="4">
        <f t="shared" si="2"/>
        <v>0</v>
      </c>
      <c r="AG33" s="4">
        <f t="shared" si="3"/>
        <v>0</v>
      </c>
      <c r="AH33" s="10">
        <f t="shared" si="4"/>
        <v>0</v>
      </c>
    </row>
    <row r="34" spans="1:34" x14ac:dyDescent="0.3">
      <c r="A34" s="6">
        <v>23</v>
      </c>
      <c r="B34" s="54">
        <v>10</v>
      </c>
      <c r="C34" s="53" t="s">
        <v>79</v>
      </c>
      <c r="D34" s="4"/>
      <c r="E34" s="4"/>
      <c r="F34" s="4"/>
      <c r="G34" s="4"/>
      <c r="H34" s="63"/>
      <c r="I34" s="4"/>
      <c r="J34" s="4"/>
      <c r="K34" s="4"/>
      <c r="L34" s="4"/>
      <c r="M34" s="4"/>
      <c r="N34" s="63"/>
      <c r="O34" s="4"/>
      <c r="P34" s="4"/>
      <c r="Q34" s="4"/>
      <c r="R34" s="4"/>
      <c r="S34" s="4"/>
      <c r="T34" s="63"/>
      <c r="U34" s="4"/>
      <c r="V34" s="4"/>
      <c r="W34" s="4"/>
      <c r="X34" s="4"/>
      <c r="Y34" s="4"/>
      <c r="Z34" s="63"/>
      <c r="AA34" s="4"/>
      <c r="AB34" s="4"/>
      <c r="AC34" s="1"/>
      <c r="AD34" s="4">
        <f t="shared" si="0"/>
        <v>0</v>
      </c>
      <c r="AE34" s="4">
        <f t="shared" si="1"/>
        <v>0</v>
      </c>
      <c r="AF34" s="4">
        <f t="shared" si="2"/>
        <v>0</v>
      </c>
      <c r="AG34" s="4">
        <f t="shared" si="3"/>
        <v>0</v>
      </c>
      <c r="AH34" s="10">
        <f t="shared" si="4"/>
        <v>0</v>
      </c>
    </row>
    <row r="35" spans="1:34" x14ac:dyDescent="0.3">
      <c r="A35" s="6">
        <v>24</v>
      </c>
      <c r="B35" s="54">
        <v>10</v>
      </c>
      <c r="C35" s="53" t="s">
        <v>80</v>
      </c>
      <c r="D35" s="4"/>
      <c r="E35" s="4"/>
      <c r="F35" s="4"/>
      <c r="G35" s="4"/>
      <c r="H35" s="63"/>
      <c r="I35" s="4"/>
      <c r="J35" s="4"/>
      <c r="K35" s="4"/>
      <c r="L35" s="4"/>
      <c r="M35" s="4"/>
      <c r="N35" s="63"/>
      <c r="O35" s="4"/>
      <c r="P35" s="4"/>
      <c r="Q35" s="4"/>
      <c r="R35" s="4"/>
      <c r="S35" s="4"/>
      <c r="T35" s="63"/>
      <c r="U35" s="4"/>
      <c r="V35" s="4"/>
      <c r="W35" s="4"/>
      <c r="X35" s="4"/>
      <c r="Y35" s="4"/>
      <c r="Z35" s="63"/>
      <c r="AA35" s="4"/>
      <c r="AB35" s="4"/>
      <c r="AC35" s="1"/>
      <c r="AD35" s="4">
        <f t="shared" si="0"/>
        <v>0</v>
      </c>
      <c r="AE35" s="4">
        <f t="shared" si="1"/>
        <v>0</v>
      </c>
      <c r="AF35" s="4">
        <f t="shared" si="2"/>
        <v>0</v>
      </c>
      <c r="AG35" s="4">
        <f t="shared" si="3"/>
        <v>0</v>
      </c>
      <c r="AH35" s="10">
        <f t="shared" si="4"/>
        <v>0</v>
      </c>
    </row>
    <row r="36" spans="1:34" x14ac:dyDescent="0.3">
      <c r="A36" s="6">
        <v>25</v>
      </c>
      <c r="B36" s="54">
        <v>10</v>
      </c>
      <c r="C36" s="53" t="s">
        <v>81</v>
      </c>
      <c r="D36" s="4"/>
      <c r="E36" s="4"/>
      <c r="F36" s="4"/>
      <c r="G36" s="4"/>
      <c r="H36" s="63"/>
      <c r="I36" s="4"/>
      <c r="J36" s="4"/>
      <c r="K36" s="4"/>
      <c r="L36" s="4"/>
      <c r="M36" s="4"/>
      <c r="N36" s="63"/>
      <c r="O36" s="4"/>
      <c r="P36" s="4"/>
      <c r="Q36" s="4"/>
      <c r="R36" s="4"/>
      <c r="S36" s="4"/>
      <c r="T36" s="63"/>
      <c r="U36" s="4"/>
      <c r="V36" s="4"/>
      <c r="W36" s="4"/>
      <c r="X36" s="4"/>
      <c r="Y36" s="4"/>
      <c r="Z36" s="63"/>
      <c r="AA36" s="4"/>
      <c r="AB36" s="4"/>
      <c r="AC36" s="1"/>
      <c r="AD36" s="4">
        <f t="shared" si="0"/>
        <v>0</v>
      </c>
      <c r="AE36" s="4">
        <f t="shared" si="1"/>
        <v>0</v>
      </c>
      <c r="AF36" s="4">
        <f t="shared" si="2"/>
        <v>0</v>
      </c>
      <c r="AG36" s="4">
        <f t="shared" si="3"/>
        <v>0</v>
      </c>
      <c r="AH36" s="10">
        <f t="shared" si="4"/>
        <v>0</v>
      </c>
    </row>
    <row r="37" spans="1:34" x14ac:dyDescent="0.3">
      <c r="A37" s="6">
        <v>26</v>
      </c>
      <c r="B37" s="54">
        <v>10</v>
      </c>
      <c r="C37" s="53" t="s">
        <v>82</v>
      </c>
      <c r="D37" s="4"/>
      <c r="E37" s="4"/>
      <c r="F37" s="4"/>
      <c r="G37" s="4"/>
      <c r="H37" s="63"/>
      <c r="I37" s="4"/>
      <c r="J37" s="4"/>
      <c r="K37" s="4"/>
      <c r="L37" s="4"/>
      <c r="M37" s="4"/>
      <c r="N37" s="63"/>
      <c r="O37" s="4"/>
      <c r="P37" s="4"/>
      <c r="Q37" s="4"/>
      <c r="R37" s="4"/>
      <c r="S37" s="4"/>
      <c r="T37" s="63"/>
      <c r="U37" s="4"/>
      <c r="V37" s="4"/>
      <c r="W37" s="4"/>
      <c r="X37" s="4"/>
      <c r="Y37" s="4"/>
      <c r="Z37" s="63"/>
      <c r="AA37" s="4"/>
      <c r="AB37" s="4"/>
      <c r="AC37" s="1"/>
      <c r="AD37" s="4">
        <f t="shared" ref="AD37:AD39" si="5">COUNTIF(D37:AB37,1)</f>
        <v>0</v>
      </c>
      <c r="AE37" s="4">
        <f t="shared" ref="AE37:AE39" si="6">COUNTIF(D37:AB37,0)</f>
        <v>0</v>
      </c>
      <c r="AF37" s="4">
        <f t="shared" ref="AF37:AF39" si="7">COUNTIF(D37:AB37,"T")</f>
        <v>0</v>
      </c>
      <c r="AG37" s="4">
        <f t="shared" ref="AG37:AG39" si="8">COUNTIF(D37:AB37,"J")</f>
        <v>0</v>
      </c>
      <c r="AH37" s="10">
        <f t="shared" ref="AH37:AH39" si="9">SUM(AD37+AF37)/22</f>
        <v>0</v>
      </c>
    </row>
    <row r="38" spans="1:34" x14ac:dyDescent="0.3">
      <c r="A38" s="6">
        <v>27</v>
      </c>
      <c r="B38" s="54">
        <v>10</v>
      </c>
      <c r="C38" s="53" t="s">
        <v>83</v>
      </c>
      <c r="D38" s="4"/>
      <c r="E38" s="4"/>
      <c r="F38" s="4"/>
      <c r="G38" s="4"/>
      <c r="H38" s="63"/>
      <c r="I38" s="4"/>
      <c r="J38" s="4"/>
      <c r="K38" s="4"/>
      <c r="L38" s="4"/>
      <c r="M38" s="4"/>
      <c r="N38" s="63"/>
      <c r="O38" s="4"/>
      <c r="P38" s="4"/>
      <c r="Q38" s="4"/>
      <c r="R38" s="4"/>
      <c r="S38" s="4"/>
      <c r="T38" s="63"/>
      <c r="U38" s="4"/>
      <c r="V38" s="4"/>
      <c r="W38" s="4"/>
      <c r="X38" s="4"/>
      <c r="Y38" s="4"/>
      <c r="Z38" s="63"/>
      <c r="AA38" s="4"/>
      <c r="AB38" s="4"/>
      <c r="AC38" s="1"/>
      <c r="AD38" s="4">
        <f t="shared" si="5"/>
        <v>0</v>
      </c>
      <c r="AE38" s="4">
        <f t="shared" si="6"/>
        <v>0</v>
      </c>
      <c r="AF38" s="4">
        <f t="shared" si="7"/>
        <v>0</v>
      </c>
      <c r="AG38" s="4">
        <f t="shared" si="8"/>
        <v>0</v>
      </c>
      <c r="AH38" s="10">
        <f t="shared" si="9"/>
        <v>0</v>
      </c>
    </row>
    <row r="39" spans="1:34" x14ac:dyDescent="0.3">
      <c r="A39" s="6">
        <v>28</v>
      </c>
      <c r="B39" s="54">
        <v>11</v>
      </c>
      <c r="C39" s="53" t="s">
        <v>84</v>
      </c>
      <c r="D39" s="4"/>
      <c r="E39" s="4"/>
      <c r="F39" s="4"/>
      <c r="G39" s="4"/>
      <c r="H39" s="63"/>
      <c r="I39" s="4"/>
      <c r="J39" s="4"/>
      <c r="K39" s="4"/>
      <c r="L39" s="4"/>
      <c r="M39" s="4"/>
      <c r="N39" s="63"/>
      <c r="O39" s="4"/>
      <c r="P39" s="4"/>
      <c r="Q39" s="4"/>
      <c r="R39" s="4"/>
      <c r="S39" s="4"/>
      <c r="T39" s="63"/>
      <c r="U39" s="4"/>
      <c r="V39" s="4"/>
      <c r="W39" s="4"/>
      <c r="X39" s="4"/>
      <c r="Y39" s="4"/>
      <c r="Z39" s="63"/>
      <c r="AA39" s="4"/>
      <c r="AB39" s="4"/>
      <c r="AC39" s="1"/>
      <c r="AD39" s="4">
        <f t="shared" si="5"/>
        <v>0</v>
      </c>
      <c r="AE39" s="4">
        <f t="shared" si="6"/>
        <v>0</v>
      </c>
      <c r="AF39" s="4">
        <f t="shared" si="7"/>
        <v>0</v>
      </c>
      <c r="AG39" s="4">
        <f t="shared" si="8"/>
        <v>0</v>
      </c>
      <c r="AH39" s="10">
        <f t="shared" si="9"/>
        <v>0</v>
      </c>
    </row>
  </sheetData>
  <mergeCells count="25">
    <mergeCell ref="C7:Z7"/>
    <mergeCell ref="AK11:AR11"/>
    <mergeCell ref="AC10:AD10"/>
    <mergeCell ref="AE1:AH10"/>
    <mergeCell ref="C1:AD1"/>
    <mergeCell ref="H11:H39"/>
    <mergeCell ref="N11:N39"/>
    <mergeCell ref="T11:T39"/>
    <mergeCell ref="Z11:Z39"/>
    <mergeCell ref="A1:B7"/>
    <mergeCell ref="AA2:AD3"/>
    <mergeCell ref="AA4:AD5"/>
    <mergeCell ref="AA6:AD7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Y9:AD9"/>
    <mergeCell ref="C2:Z6"/>
  </mergeCells>
  <conditionalFormatting sqref="H11 I12:M23 O12:S23 U12:Y23 AA12:AB23 E13:G23">
    <cfRule type="cellIs" dxfId="81" priority="3" operator="equal">
      <formula>"T"</formula>
    </cfRule>
  </conditionalFormatting>
  <conditionalFormatting sqref="H11 N11 T11 Z11 D12:G39 I12:M39 O12:S39 U12:Y39 AA12:AC39">
    <cfRule type="cellIs" dxfId="80" priority="1" stopIfTrue="1" operator="equal">
      <formula>"T"</formula>
    </cfRule>
  </conditionalFormatting>
  <conditionalFormatting sqref="I16:J23">
    <cfRule type="cellIs" dxfId="79" priority="4" stopIfTrue="1" operator="equal">
      <formula>"J"</formula>
    </cfRule>
  </conditionalFormatting>
  <conditionalFormatting sqref="I12:M39 H11 N11 T11 Z11 D12:G39 O12:S39 U12:Y39 AA12:AC39">
    <cfRule type="cellIs" dxfId="78" priority="9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0E9BB01D-B937-4C81-9181-764077598D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H11 N11 T11 Z11 D12:G39 I12:M39 O12:S39 U12:Y39 AA12:AC39</xm:sqref>
        </x14:conditionalFormatting>
        <x14:conditionalFormatting xmlns:xm="http://schemas.microsoft.com/office/excel/2006/main">
          <x14:cfRule type="iconSet" priority="6" id="{42CC66DC-1F42-4E55-8608-2ED4FA383E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I15:K23 E13:E15 D40:AC63 D24:G39 I24:M39 O24:S39 U24:Y39 AA24:AB39</xm:sqref>
        </x14:conditionalFormatting>
        <x14:conditionalFormatting xmlns:xm="http://schemas.microsoft.com/office/excel/2006/main">
          <x14:cfRule type="iconSet" priority="7" id="{2020F72D-8A3D-49EE-BED7-FCAA990363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U12:Y12 I12:M12 E16:G23 E13:G13 E14:E15 H11 I13:K23 O12:S12 AA12:AB12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8AF-5F13-44BA-872C-4C4DAD5FF917}">
  <sheetPr codeName="Hoja10"/>
  <dimension ref="A1:AQ39"/>
  <sheetViews>
    <sheetView topLeftCell="C6" zoomScale="90" zoomScaleNormal="90" workbookViewId="0">
      <selection activeCell="AJ11" sqref="AJ11:AQ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5" width="3" customWidth="1"/>
    <col min="6" max="6" width="3.88671875" customWidth="1"/>
    <col min="7" max="10" width="3.21875" bestFit="1" customWidth="1"/>
    <col min="11" max="27" width="3.21875" customWidth="1"/>
    <col min="28" max="28" width="3" customWidth="1"/>
    <col min="29" max="29" width="11.77734375" customWidth="1"/>
    <col min="30" max="30" width="7.33203125" bestFit="1" customWidth="1"/>
    <col min="31" max="31" width="7" bestFit="1" customWidth="1"/>
    <col min="32" max="32" width="14.77734375" bestFit="1" customWidth="1"/>
    <col min="33" max="33" width="13.77734375" bestFit="1" customWidth="1"/>
  </cols>
  <sheetData>
    <row r="1" spans="1:43" x14ac:dyDescent="0.3">
      <c r="A1" s="70"/>
      <c r="B1" s="70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78"/>
      <c r="AF1" s="78"/>
      <c r="AG1" s="78"/>
    </row>
    <row r="2" spans="1:43" x14ac:dyDescent="0.3">
      <c r="A2" s="70"/>
      <c r="B2" s="70"/>
      <c r="C2" s="57" t="e" vm="1">
        <v>#VALUE!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 t="s">
        <v>15</v>
      </c>
      <c r="AB2" s="58"/>
      <c r="AC2" s="58"/>
      <c r="AD2" s="58"/>
      <c r="AE2" s="81"/>
      <c r="AF2" s="78"/>
      <c r="AG2" s="78"/>
    </row>
    <row r="3" spans="1:43" x14ac:dyDescent="0.3">
      <c r="A3" s="70"/>
      <c r="B3" s="70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8"/>
      <c r="AB3" s="58"/>
      <c r="AC3" s="58"/>
      <c r="AD3" s="58"/>
      <c r="AE3" s="81"/>
      <c r="AF3" s="78"/>
      <c r="AG3" s="78"/>
    </row>
    <row r="4" spans="1:43" ht="14.55" customHeight="1" x14ac:dyDescent="0.3">
      <c r="A4" s="70"/>
      <c r="B4" s="70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68" t="s">
        <v>17</v>
      </c>
      <c r="AB4" s="68"/>
      <c r="AC4" s="68"/>
      <c r="AD4" s="68"/>
      <c r="AE4" s="81"/>
      <c r="AF4" s="78"/>
      <c r="AG4" s="78"/>
    </row>
    <row r="5" spans="1:43" x14ac:dyDescent="0.3">
      <c r="A5" s="70"/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68"/>
      <c r="AB5" s="68"/>
      <c r="AC5" s="68"/>
      <c r="AD5" s="68"/>
      <c r="AE5" s="81"/>
      <c r="AF5" s="78"/>
      <c r="AG5" s="78"/>
    </row>
    <row r="6" spans="1:43" ht="14.55" customHeight="1" x14ac:dyDescent="0.3">
      <c r="A6" s="70"/>
      <c r="B6" s="70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8" t="s">
        <v>16</v>
      </c>
      <c r="AB6" s="68"/>
      <c r="AC6" s="68"/>
      <c r="AD6" s="68"/>
      <c r="AE6" s="81"/>
      <c r="AF6" s="78"/>
      <c r="AG6" s="78"/>
    </row>
    <row r="7" spans="1:43" x14ac:dyDescent="0.3">
      <c r="A7" s="70"/>
      <c r="B7" s="70"/>
      <c r="C7" s="69" t="s">
        <v>18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8"/>
      <c r="AB7" s="68"/>
      <c r="AC7" s="68"/>
      <c r="AD7" s="68"/>
      <c r="AE7" s="81"/>
      <c r="AF7" s="78"/>
      <c r="AG7" s="78"/>
    </row>
    <row r="8" spans="1:43" x14ac:dyDescent="0.3">
      <c r="A8" s="64"/>
      <c r="B8" s="7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78"/>
      <c r="AF8" s="78"/>
      <c r="AG8" s="78"/>
    </row>
    <row r="9" spans="1:43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7"/>
      <c r="Z9" s="57"/>
      <c r="AA9" s="57"/>
      <c r="AB9" s="57"/>
      <c r="AC9" s="57"/>
      <c r="AD9" s="57"/>
      <c r="AE9" s="81"/>
      <c r="AF9" s="78"/>
      <c r="AG9" s="78"/>
    </row>
    <row r="10" spans="1:43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7"/>
      <c r="AD10" s="57"/>
      <c r="AE10" s="82"/>
      <c r="AF10" s="83"/>
      <c r="AG10" s="83"/>
    </row>
    <row r="11" spans="1:43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60"/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61"/>
      <c r="M11" s="1">
        <v>13</v>
      </c>
      <c r="N11" s="1">
        <v>14</v>
      </c>
      <c r="O11" s="1">
        <v>15</v>
      </c>
      <c r="P11" s="1">
        <v>16</v>
      </c>
      <c r="Q11" s="60"/>
      <c r="R11" s="1">
        <v>19</v>
      </c>
      <c r="S11" s="1">
        <v>20</v>
      </c>
      <c r="T11" s="1">
        <v>21</v>
      </c>
      <c r="U11" s="1">
        <v>22</v>
      </c>
      <c r="V11" s="1">
        <v>23</v>
      </c>
      <c r="W11" s="60"/>
      <c r="X11" s="1">
        <v>26</v>
      </c>
      <c r="Y11" s="1">
        <v>27</v>
      </c>
      <c r="Z11" s="1">
        <v>28</v>
      </c>
      <c r="AA11" s="1">
        <v>29</v>
      </c>
      <c r="AB11" s="1">
        <v>30</v>
      </c>
      <c r="AC11" s="1" t="s">
        <v>1</v>
      </c>
      <c r="AD11" s="1" t="s">
        <v>2</v>
      </c>
      <c r="AE11" s="1" t="s">
        <v>3</v>
      </c>
      <c r="AF11" s="1" t="s">
        <v>4</v>
      </c>
      <c r="AG11" s="1" t="s">
        <v>5</v>
      </c>
      <c r="AJ11" s="71" t="s">
        <v>9</v>
      </c>
      <c r="AK11" s="72"/>
      <c r="AL11" s="72"/>
      <c r="AM11" s="72"/>
      <c r="AN11" s="72"/>
      <c r="AO11" s="72"/>
      <c r="AP11" s="72"/>
      <c r="AQ11" s="73"/>
    </row>
    <row r="12" spans="1:43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63"/>
      <c r="G12" s="61"/>
      <c r="H12" s="61"/>
      <c r="I12" s="61"/>
      <c r="J12" s="61"/>
      <c r="K12" s="61"/>
      <c r="L12" s="70"/>
      <c r="M12" s="1"/>
      <c r="N12" s="1"/>
      <c r="O12" s="1"/>
      <c r="P12" s="1"/>
      <c r="Q12" s="63"/>
      <c r="R12" s="1"/>
      <c r="S12" s="1"/>
      <c r="T12" s="1"/>
      <c r="U12" s="1"/>
      <c r="V12" s="1"/>
      <c r="W12" s="63"/>
      <c r="X12" s="1"/>
      <c r="Y12" s="1"/>
      <c r="Z12" s="1"/>
      <c r="AA12" s="1"/>
      <c r="AB12" s="1"/>
      <c r="AC12" s="4">
        <f t="shared" ref="AC12:AC36" si="0">COUNTIF(D12:Y12,1)</f>
        <v>0</v>
      </c>
      <c r="AD12" s="4">
        <f t="shared" ref="AD12:AD36" si="1">COUNTIF(D12:Y12,0)</f>
        <v>0</v>
      </c>
      <c r="AE12" s="4">
        <f t="shared" ref="AE12:AE36" si="2">COUNTIF(D12:Y12,"T")</f>
        <v>0</v>
      </c>
      <c r="AF12" s="4">
        <f t="shared" ref="AF12:AF36" si="3">COUNTIF(D12:Y12,"J")</f>
        <v>0</v>
      </c>
      <c r="AG12" s="10">
        <f>SUM(AC12+AE12)/16</f>
        <v>0</v>
      </c>
      <c r="AJ12" s="17"/>
      <c r="AK12" s="14">
        <v>1</v>
      </c>
      <c r="AL12" s="3" t="s">
        <v>10</v>
      </c>
      <c r="AM12" s="8"/>
      <c r="AN12" s="8"/>
      <c r="AQ12" s="18"/>
    </row>
    <row r="13" spans="1:43" s="3" customFormat="1" x14ac:dyDescent="0.3">
      <c r="A13" s="6">
        <v>2</v>
      </c>
      <c r="B13" s="47">
        <v>6</v>
      </c>
      <c r="C13" s="53" t="s">
        <v>58</v>
      </c>
      <c r="D13" s="1"/>
      <c r="E13" s="4"/>
      <c r="F13" s="63"/>
      <c r="G13" s="70"/>
      <c r="H13" s="70"/>
      <c r="I13" s="70"/>
      <c r="J13" s="70"/>
      <c r="K13" s="70"/>
      <c r="L13" s="70"/>
      <c r="M13" s="1"/>
      <c r="N13" s="1"/>
      <c r="O13" s="1"/>
      <c r="P13" s="1"/>
      <c r="Q13" s="63"/>
      <c r="R13" s="1"/>
      <c r="S13" s="1"/>
      <c r="T13" s="1"/>
      <c r="U13" s="1"/>
      <c r="V13" s="1"/>
      <c r="W13" s="63"/>
      <c r="X13" s="1"/>
      <c r="Y13" s="1"/>
      <c r="Z13" s="1"/>
      <c r="AA13" s="1"/>
      <c r="AB13" s="1"/>
      <c r="AC13" s="4">
        <f t="shared" si="0"/>
        <v>0</v>
      </c>
      <c r="AD13" s="4">
        <f t="shared" si="1"/>
        <v>0</v>
      </c>
      <c r="AE13" s="4">
        <f t="shared" si="2"/>
        <v>0</v>
      </c>
      <c r="AF13" s="4">
        <f t="shared" si="3"/>
        <v>0</v>
      </c>
      <c r="AG13" s="10">
        <f t="shared" ref="AG13:AG36" si="4">SUM(AC13+AE13)/16</f>
        <v>0</v>
      </c>
      <c r="AJ13" s="17"/>
      <c r="AK13" s="15">
        <v>0</v>
      </c>
      <c r="AL13" s="3" t="s">
        <v>14</v>
      </c>
      <c r="AQ13" s="18"/>
    </row>
    <row r="14" spans="1:43" s="3" customFormat="1" x14ac:dyDescent="0.3">
      <c r="A14" s="6">
        <v>3</v>
      </c>
      <c r="B14" s="47">
        <v>6</v>
      </c>
      <c r="C14" s="53" t="s">
        <v>59</v>
      </c>
      <c r="D14" s="1"/>
      <c r="E14" s="4"/>
      <c r="F14" s="63"/>
      <c r="G14" s="70"/>
      <c r="H14" s="70"/>
      <c r="I14" s="70"/>
      <c r="J14" s="70"/>
      <c r="K14" s="70"/>
      <c r="L14" s="70"/>
      <c r="M14" s="1"/>
      <c r="N14" s="1"/>
      <c r="O14" s="1"/>
      <c r="P14" s="1"/>
      <c r="Q14" s="63"/>
      <c r="R14" s="1"/>
      <c r="S14" s="1"/>
      <c r="T14" s="1"/>
      <c r="U14" s="1"/>
      <c r="V14" s="1"/>
      <c r="W14" s="63"/>
      <c r="X14" s="1"/>
      <c r="Y14" s="1"/>
      <c r="Z14" s="1"/>
      <c r="AA14" s="1"/>
      <c r="AB14" s="1"/>
      <c r="AC14" s="4">
        <f t="shared" si="0"/>
        <v>0</v>
      </c>
      <c r="AD14" s="4">
        <f t="shared" si="1"/>
        <v>0</v>
      </c>
      <c r="AE14" s="4">
        <f t="shared" si="2"/>
        <v>0</v>
      </c>
      <c r="AF14" s="4">
        <f t="shared" si="3"/>
        <v>0</v>
      </c>
      <c r="AG14" s="10">
        <f t="shared" si="4"/>
        <v>0</v>
      </c>
      <c r="AJ14" s="17"/>
      <c r="AK14" s="16" t="s">
        <v>11</v>
      </c>
      <c r="AL14" s="3" t="s">
        <v>12</v>
      </c>
      <c r="AQ14" s="18"/>
    </row>
    <row r="15" spans="1:43" ht="15" thickBot="1" x14ac:dyDescent="0.35">
      <c r="A15" s="6">
        <v>4</v>
      </c>
      <c r="B15" s="47">
        <v>7</v>
      </c>
      <c r="C15" s="53" t="s">
        <v>60</v>
      </c>
      <c r="D15" s="1"/>
      <c r="E15" s="4"/>
      <c r="F15" s="63"/>
      <c r="G15" s="70"/>
      <c r="H15" s="70"/>
      <c r="I15" s="70"/>
      <c r="J15" s="70"/>
      <c r="K15" s="70"/>
      <c r="L15" s="70"/>
      <c r="M15" s="1"/>
      <c r="N15" s="1"/>
      <c r="O15" s="1"/>
      <c r="P15" s="1"/>
      <c r="Q15" s="63"/>
      <c r="R15" s="1"/>
      <c r="S15" s="1"/>
      <c r="T15" s="1"/>
      <c r="U15" s="1"/>
      <c r="V15" s="1"/>
      <c r="W15" s="63"/>
      <c r="X15" s="1"/>
      <c r="Y15" s="1"/>
      <c r="Z15" s="1"/>
      <c r="AA15" s="1"/>
      <c r="AB15" s="1"/>
      <c r="AC15" s="4">
        <f t="shared" si="0"/>
        <v>0</v>
      </c>
      <c r="AD15" s="4">
        <f t="shared" si="1"/>
        <v>0</v>
      </c>
      <c r="AE15" s="4">
        <f t="shared" si="2"/>
        <v>0</v>
      </c>
      <c r="AF15" s="4">
        <f t="shared" si="3"/>
        <v>0</v>
      </c>
      <c r="AG15" s="10">
        <f t="shared" si="4"/>
        <v>0</v>
      </c>
      <c r="AJ15" s="19"/>
      <c r="AK15" s="20" t="s">
        <v>6</v>
      </c>
      <c r="AL15" s="21" t="s">
        <v>13</v>
      </c>
      <c r="AM15" s="22"/>
      <c r="AN15" s="22"/>
      <c r="AO15" s="22"/>
      <c r="AP15" s="22"/>
      <c r="AQ15" s="23"/>
    </row>
    <row r="16" spans="1:43" x14ac:dyDescent="0.3">
      <c r="A16" s="6">
        <v>5</v>
      </c>
      <c r="B16" s="47">
        <v>7</v>
      </c>
      <c r="C16" s="53" t="s">
        <v>61</v>
      </c>
      <c r="D16" s="1"/>
      <c r="E16" s="1"/>
      <c r="F16" s="63"/>
      <c r="G16" s="70"/>
      <c r="H16" s="70"/>
      <c r="I16" s="70"/>
      <c r="J16" s="70"/>
      <c r="K16" s="70"/>
      <c r="L16" s="70"/>
      <c r="M16" s="1"/>
      <c r="N16" s="1"/>
      <c r="O16" s="1"/>
      <c r="P16" s="1"/>
      <c r="Q16" s="63"/>
      <c r="R16" s="1"/>
      <c r="S16" s="1"/>
      <c r="T16" s="1"/>
      <c r="U16" s="1"/>
      <c r="V16" s="1"/>
      <c r="W16" s="63"/>
      <c r="X16" s="1"/>
      <c r="Y16" s="1"/>
      <c r="Z16" s="1"/>
      <c r="AA16" s="1"/>
      <c r="AB16" s="1"/>
      <c r="AC16" s="4">
        <f t="shared" si="0"/>
        <v>0</v>
      </c>
      <c r="AD16" s="4">
        <f t="shared" si="1"/>
        <v>0</v>
      </c>
      <c r="AE16" s="4">
        <f t="shared" si="2"/>
        <v>0</v>
      </c>
      <c r="AF16" s="4">
        <f t="shared" si="3"/>
        <v>0</v>
      </c>
      <c r="AG16" s="10">
        <f t="shared" si="4"/>
        <v>0</v>
      </c>
      <c r="AK16" t="s">
        <v>50</v>
      </c>
      <c r="AL16" s="3" t="s">
        <v>51</v>
      </c>
    </row>
    <row r="17" spans="1:41" x14ac:dyDescent="0.3">
      <c r="A17" s="6">
        <v>6</v>
      </c>
      <c r="B17" s="47">
        <v>7</v>
      </c>
      <c r="C17" s="53" t="s">
        <v>62</v>
      </c>
      <c r="D17" s="1"/>
      <c r="E17" s="1"/>
      <c r="F17" s="63"/>
      <c r="G17" s="70"/>
      <c r="H17" s="70"/>
      <c r="I17" s="70"/>
      <c r="J17" s="70"/>
      <c r="K17" s="70"/>
      <c r="L17" s="70"/>
      <c r="M17" s="1"/>
      <c r="N17" s="1"/>
      <c r="O17" s="1"/>
      <c r="P17" s="1"/>
      <c r="Q17" s="63"/>
      <c r="R17" s="1"/>
      <c r="S17" s="1"/>
      <c r="T17" s="1"/>
      <c r="U17" s="1"/>
      <c r="V17" s="1"/>
      <c r="W17" s="63"/>
      <c r="X17" s="1"/>
      <c r="Y17" s="1"/>
      <c r="Z17" s="1"/>
      <c r="AA17" s="1"/>
      <c r="AB17" s="1"/>
      <c r="AC17" s="4">
        <f t="shared" si="0"/>
        <v>0</v>
      </c>
      <c r="AD17" s="4">
        <f t="shared" si="1"/>
        <v>0</v>
      </c>
      <c r="AE17" s="4">
        <f t="shared" si="2"/>
        <v>0</v>
      </c>
      <c r="AF17" s="4">
        <f t="shared" si="3"/>
        <v>0</v>
      </c>
      <c r="AG17" s="10">
        <f t="shared" si="4"/>
        <v>0</v>
      </c>
    </row>
    <row r="18" spans="1:41" x14ac:dyDescent="0.3">
      <c r="A18" s="6">
        <v>7</v>
      </c>
      <c r="B18" s="47">
        <v>7</v>
      </c>
      <c r="C18" s="53" t="s">
        <v>63</v>
      </c>
      <c r="D18" s="1"/>
      <c r="E18" s="1"/>
      <c r="F18" s="63"/>
      <c r="G18" s="70"/>
      <c r="H18" s="70"/>
      <c r="I18" s="70"/>
      <c r="J18" s="70"/>
      <c r="K18" s="70"/>
      <c r="L18" s="70"/>
      <c r="M18" s="1"/>
      <c r="N18" s="1"/>
      <c r="O18" s="1"/>
      <c r="P18" s="1"/>
      <c r="Q18" s="63"/>
      <c r="R18" s="1"/>
      <c r="S18" s="1"/>
      <c r="T18" s="1"/>
      <c r="U18" s="1"/>
      <c r="V18" s="1"/>
      <c r="W18" s="63"/>
      <c r="X18" s="1"/>
      <c r="Y18" s="1"/>
      <c r="Z18" s="1"/>
      <c r="AA18" s="1"/>
      <c r="AB18" s="1"/>
      <c r="AC18" s="4">
        <f t="shared" si="0"/>
        <v>0</v>
      </c>
      <c r="AD18" s="4">
        <f t="shared" si="1"/>
        <v>0</v>
      </c>
      <c r="AE18" s="4">
        <f t="shared" si="2"/>
        <v>0</v>
      </c>
      <c r="AF18" s="4">
        <f t="shared" si="3"/>
        <v>0</v>
      </c>
      <c r="AG18" s="10">
        <f t="shared" si="4"/>
        <v>0</v>
      </c>
      <c r="AL18" s="8"/>
      <c r="AN18" s="3"/>
      <c r="AO18" s="3"/>
    </row>
    <row r="19" spans="1:41" x14ac:dyDescent="0.3">
      <c r="A19" s="6">
        <v>8</v>
      </c>
      <c r="B19" s="47">
        <v>7</v>
      </c>
      <c r="C19" s="53" t="s">
        <v>64</v>
      </c>
      <c r="D19" s="1"/>
      <c r="E19" s="1"/>
      <c r="F19" s="63"/>
      <c r="G19" s="70"/>
      <c r="H19" s="70"/>
      <c r="I19" s="70"/>
      <c r="J19" s="70"/>
      <c r="K19" s="70"/>
      <c r="L19" s="70"/>
      <c r="M19" s="1"/>
      <c r="N19" s="1"/>
      <c r="O19" s="1"/>
      <c r="P19" s="1"/>
      <c r="Q19" s="63"/>
      <c r="R19" s="1"/>
      <c r="S19" s="1"/>
      <c r="T19" s="1"/>
      <c r="U19" s="1"/>
      <c r="V19" s="1"/>
      <c r="W19" s="63"/>
      <c r="X19" s="1"/>
      <c r="Y19" s="1"/>
      <c r="Z19" s="1"/>
      <c r="AA19" s="1"/>
      <c r="AB19" s="1"/>
      <c r="AC19" s="4">
        <f t="shared" si="0"/>
        <v>0</v>
      </c>
      <c r="AD19" s="4">
        <f t="shared" si="1"/>
        <v>0</v>
      </c>
      <c r="AE19" s="4">
        <f t="shared" si="2"/>
        <v>0</v>
      </c>
      <c r="AF19" s="4">
        <f t="shared" si="3"/>
        <v>0</v>
      </c>
      <c r="AG19" s="10">
        <f t="shared" si="4"/>
        <v>0</v>
      </c>
      <c r="AL19" s="8"/>
    </row>
    <row r="20" spans="1:41" x14ac:dyDescent="0.3">
      <c r="A20" s="6">
        <v>9</v>
      </c>
      <c r="B20" s="47">
        <v>7</v>
      </c>
      <c r="C20" s="53" t="s">
        <v>65</v>
      </c>
      <c r="D20" s="1"/>
      <c r="E20" s="1"/>
      <c r="F20" s="63"/>
      <c r="G20" s="70"/>
      <c r="H20" s="70"/>
      <c r="I20" s="70"/>
      <c r="J20" s="70"/>
      <c r="K20" s="70"/>
      <c r="L20" s="70"/>
      <c r="M20" s="1"/>
      <c r="N20" s="1"/>
      <c r="O20" s="1"/>
      <c r="P20" s="1"/>
      <c r="Q20" s="63"/>
      <c r="R20" s="1"/>
      <c r="S20" s="1"/>
      <c r="T20" s="1"/>
      <c r="U20" s="1"/>
      <c r="V20" s="1"/>
      <c r="W20" s="63"/>
      <c r="X20" s="1"/>
      <c r="Y20" s="1"/>
      <c r="Z20" s="1"/>
      <c r="AA20" s="1"/>
      <c r="AB20" s="1"/>
      <c r="AC20" s="4">
        <f t="shared" si="0"/>
        <v>0</v>
      </c>
      <c r="AD20" s="4">
        <f t="shared" si="1"/>
        <v>0</v>
      </c>
      <c r="AE20" s="4">
        <f t="shared" si="2"/>
        <v>0</v>
      </c>
      <c r="AF20" s="4">
        <f t="shared" si="3"/>
        <v>0</v>
      </c>
      <c r="AG20" s="10">
        <f t="shared" si="4"/>
        <v>0</v>
      </c>
      <c r="AL20" s="8"/>
      <c r="AM20" s="3"/>
      <c r="AN20" s="3"/>
      <c r="AO20" s="3"/>
    </row>
    <row r="21" spans="1:41" x14ac:dyDescent="0.3">
      <c r="A21" s="6">
        <v>10</v>
      </c>
      <c r="B21" s="47">
        <v>7</v>
      </c>
      <c r="C21" s="53" t="s">
        <v>66</v>
      </c>
      <c r="D21" s="1"/>
      <c r="E21" s="1"/>
      <c r="F21" s="63"/>
      <c r="G21" s="70"/>
      <c r="H21" s="70"/>
      <c r="I21" s="70"/>
      <c r="J21" s="70"/>
      <c r="K21" s="70"/>
      <c r="L21" s="70"/>
      <c r="M21" s="1"/>
      <c r="N21" s="1"/>
      <c r="O21" s="1"/>
      <c r="P21" s="1"/>
      <c r="Q21" s="63"/>
      <c r="R21" s="1"/>
      <c r="S21" s="1"/>
      <c r="T21" s="1"/>
      <c r="U21" s="1"/>
      <c r="V21" s="1"/>
      <c r="W21" s="63"/>
      <c r="X21" s="1"/>
      <c r="Y21" s="1"/>
      <c r="Z21" s="1"/>
      <c r="AA21" s="1"/>
      <c r="AB21" s="1"/>
      <c r="AC21" s="4">
        <f t="shared" si="0"/>
        <v>0</v>
      </c>
      <c r="AD21" s="4">
        <f t="shared" si="1"/>
        <v>0</v>
      </c>
      <c r="AE21" s="4">
        <f t="shared" si="2"/>
        <v>0</v>
      </c>
      <c r="AF21" s="4">
        <f t="shared" si="3"/>
        <v>0</v>
      </c>
      <c r="AG21" s="10">
        <f t="shared" si="4"/>
        <v>0</v>
      </c>
      <c r="AL21" s="7"/>
    </row>
    <row r="22" spans="1:41" x14ac:dyDescent="0.3">
      <c r="A22" s="6">
        <v>11</v>
      </c>
      <c r="B22" s="47">
        <v>8</v>
      </c>
      <c r="C22" s="53" t="s">
        <v>67</v>
      </c>
      <c r="D22" s="1"/>
      <c r="E22" s="1"/>
      <c r="F22" s="63"/>
      <c r="G22" s="70"/>
      <c r="H22" s="70"/>
      <c r="I22" s="70"/>
      <c r="J22" s="70"/>
      <c r="K22" s="70"/>
      <c r="L22" s="70"/>
      <c r="M22" s="1"/>
      <c r="N22" s="1"/>
      <c r="O22" s="1"/>
      <c r="P22" s="1"/>
      <c r="Q22" s="63"/>
      <c r="R22" s="1"/>
      <c r="S22" s="1"/>
      <c r="T22" s="1"/>
      <c r="U22" s="1"/>
      <c r="V22" s="1"/>
      <c r="W22" s="63"/>
      <c r="X22" s="1"/>
      <c r="Y22" s="1"/>
      <c r="Z22" s="1"/>
      <c r="AA22" s="1"/>
      <c r="AB22" s="1"/>
      <c r="AC22" s="4">
        <f t="shared" si="0"/>
        <v>0</v>
      </c>
      <c r="AD22" s="4">
        <f t="shared" si="1"/>
        <v>0</v>
      </c>
      <c r="AE22" s="4">
        <f t="shared" si="2"/>
        <v>0</v>
      </c>
      <c r="AF22" s="4">
        <f t="shared" si="3"/>
        <v>0</v>
      </c>
      <c r="AG22" s="10">
        <f t="shared" si="4"/>
        <v>0</v>
      </c>
    </row>
    <row r="23" spans="1:41" x14ac:dyDescent="0.3">
      <c r="A23" s="6">
        <v>12</v>
      </c>
      <c r="B23" s="47">
        <v>8</v>
      </c>
      <c r="C23" s="53" t="s">
        <v>68</v>
      </c>
      <c r="D23" s="1"/>
      <c r="E23" s="1"/>
      <c r="F23" s="63"/>
      <c r="G23" s="70"/>
      <c r="H23" s="70"/>
      <c r="I23" s="70"/>
      <c r="J23" s="70"/>
      <c r="K23" s="70"/>
      <c r="L23" s="70"/>
      <c r="M23" s="1"/>
      <c r="N23" s="1"/>
      <c r="O23" s="1"/>
      <c r="P23" s="1"/>
      <c r="Q23" s="63"/>
      <c r="R23" s="1"/>
      <c r="S23" s="1"/>
      <c r="T23" s="1"/>
      <c r="U23" s="1"/>
      <c r="V23" s="1"/>
      <c r="W23" s="63"/>
      <c r="X23" s="1"/>
      <c r="Y23" s="1"/>
      <c r="Z23" s="1"/>
      <c r="AA23" s="1"/>
      <c r="AB23" s="1"/>
      <c r="AC23" s="4">
        <f t="shared" si="0"/>
        <v>0</v>
      </c>
      <c r="AD23" s="4">
        <f t="shared" si="1"/>
        <v>0</v>
      </c>
      <c r="AE23" s="4">
        <f t="shared" si="2"/>
        <v>0</v>
      </c>
      <c r="AF23" s="4">
        <f t="shared" si="3"/>
        <v>0</v>
      </c>
      <c r="AG23" s="10">
        <f t="shared" si="4"/>
        <v>0</v>
      </c>
    </row>
    <row r="24" spans="1:41" x14ac:dyDescent="0.3">
      <c r="A24" s="6">
        <v>13</v>
      </c>
      <c r="B24" s="47">
        <v>8</v>
      </c>
      <c r="C24" s="53" t="s">
        <v>69</v>
      </c>
      <c r="D24" s="4"/>
      <c r="E24" s="4"/>
      <c r="F24" s="63"/>
      <c r="G24" s="70"/>
      <c r="H24" s="70"/>
      <c r="I24" s="70"/>
      <c r="J24" s="70"/>
      <c r="K24" s="70"/>
      <c r="L24" s="70"/>
      <c r="M24" s="4"/>
      <c r="N24" s="4"/>
      <c r="O24" s="4"/>
      <c r="P24" s="4"/>
      <c r="Q24" s="63"/>
      <c r="R24" s="4"/>
      <c r="S24" s="4"/>
      <c r="T24" s="4"/>
      <c r="U24" s="4"/>
      <c r="V24" s="4"/>
      <c r="W24" s="63"/>
      <c r="X24" s="4"/>
      <c r="Y24" s="4"/>
      <c r="Z24" s="4"/>
      <c r="AA24" s="4"/>
      <c r="AB24" s="1"/>
      <c r="AC24" s="4">
        <f t="shared" si="0"/>
        <v>0</v>
      </c>
      <c r="AD24" s="4">
        <f t="shared" si="1"/>
        <v>0</v>
      </c>
      <c r="AE24" s="4">
        <f t="shared" si="2"/>
        <v>0</v>
      </c>
      <c r="AF24" s="4">
        <f t="shared" si="3"/>
        <v>0</v>
      </c>
      <c r="AG24" s="10">
        <f t="shared" si="4"/>
        <v>0</v>
      </c>
    </row>
    <row r="25" spans="1:41" x14ac:dyDescent="0.3">
      <c r="A25" s="6">
        <v>14</v>
      </c>
      <c r="B25" s="47">
        <v>8</v>
      </c>
      <c r="C25" s="53" t="s">
        <v>70</v>
      </c>
      <c r="D25" s="4"/>
      <c r="E25" s="4"/>
      <c r="F25" s="63"/>
      <c r="G25" s="70"/>
      <c r="H25" s="70"/>
      <c r="I25" s="70"/>
      <c r="J25" s="70"/>
      <c r="K25" s="70"/>
      <c r="L25" s="70"/>
      <c r="M25" s="4"/>
      <c r="N25" s="4"/>
      <c r="O25" s="4"/>
      <c r="P25" s="4"/>
      <c r="Q25" s="63"/>
      <c r="R25" s="4"/>
      <c r="S25" s="4"/>
      <c r="T25" s="4"/>
      <c r="U25" s="4"/>
      <c r="V25" s="4"/>
      <c r="W25" s="63"/>
      <c r="X25" s="4"/>
      <c r="Y25" s="4"/>
      <c r="Z25" s="4"/>
      <c r="AA25" s="4"/>
      <c r="AB25" s="1"/>
      <c r="AC25" s="4">
        <f t="shared" si="0"/>
        <v>0</v>
      </c>
      <c r="AD25" s="4">
        <f t="shared" si="1"/>
        <v>0</v>
      </c>
      <c r="AE25" s="4">
        <f t="shared" si="2"/>
        <v>0</v>
      </c>
      <c r="AF25" s="4">
        <f t="shared" si="3"/>
        <v>0</v>
      </c>
      <c r="AG25" s="10">
        <f t="shared" si="4"/>
        <v>0</v>
      </c>
    </row>
    <row r="26" spans="1:41" x14ac:dyDescent="0.3">
      <c r="A26" s="6">
        <v>15</v>
      </c>
      <c r="B26" s="47">
        <v>8</v>
      </c>
      <c r="C26" s="53" t="s">
        <v>71</v>
      </c>
      <c r="D26" s="4"/>
      <c r="E26" s="4"/>
      <c r="F26" s="63"/>
      <c r="G26" s="70"/>
      <c r="H26" s="70"/>
      <c r="I26" s="70"/>
      <c r="J26" s="70"/>
      <c r="K26" s="70"/>
      <c r="L26" s="70"/>
      <c r="M26" s="4"/>
      <c r="N26" s="4"/>
      <c r="O26" s="4"/>
      <c r="P26" s="4"/>
      <c r="Q26" s="63"/>
      <c r="R26" s="4"/>
      <c r="S26" s="4"/>
      <c r="T26" s="4"/>
      <c r="U26" s="4"/>
      <c r="V26" s="4"/>
      <c r="W26" s="63"/>
      <c r="X26" s="4"/>
      <c r="Y26" s="4"/>
      <c r="Z26" s="4"/>
      <c r="AA26" s="4"/>
      <c r="AB26" s="1"/>
      <c r="AC26" s="4">
        <f t="shared" si="0"/>
        <v>0</v>
      </c>
      <c r="AD26" s="4">
        <f t="shared" si="1"/>
        <v>0</v>
      </c>
      <c r="AE26" s="4">
        <f t="shared" si="2"/>
        <v>0</v>
      </c>
      <c r="AF26" s="4">
        <f t="shared" si="3"/>
        <v>0</v>
      </c>
      <c r="AG26" s="10">
        <f t="shared" si="4"/>
        <v>0</v>
      </c>
    </row>
    <row r="27" spans="1:41" x14ac:dyDescent="0.3">
      <c r="A27" s="6">
        <v>16</v>
      </c>
      <c r="B27" s="54">
        <v>9</v>
      </c>
      <c r="C27" s="53" t="s">
        <v>72</v>
      </c>
      <c r="D27" s="4"/>
      <c r="E27" s="4"/>
      <c r="F27" s="63"/>
      <c r="G27" s="70"/>
      <c r="H27" s="70"/>
      <c r="I27" s="70"/>
      <c r="J27" s="70"/>
      <c r="K27" s="70"/>
      <c r="L27" s="70"/>
      <c r="M27" s="4"/>
      <c r="N27" s="4"/>
      <c r="O27" s="4"/>
      <c r="P27" s="4"/>
      <c r="Q27" s="63"/>
      <c r="R27" s="4"/>
      <c r="S27" s="4"/>
      <c r="T27" s="4"/>
      <c r="U27" s="4"/>
      <c r="V27" s="4"/>
      <c r="W27" s="63"/>
      <c r="X27" s="4"/>
      <c r="Y27" s="4"/>
      <c r="Z27" s="4"/>
      <c r="AA27" s="4"/>
      <c r="AB27" s="1"/>
      <c r="AC27" s="4">
        <f t="shared" si="0"/>
        <v>0</v>
      </c>
      <c r="AD27" s="4">
        <f t="shared" si="1"/>
        <v>0</v>
      </c>
      <c r="AE27" s="4">
        <f t="shared" si="2"/>
        <v>0</v>
      </c>
      <c r="AF27" s="4">
        <f t="shared" si="3"/>
        <v>0</v>
      </c>
      <c r="AG27" s="10">
        <f t="shared" si="4"/>
        <v>0</v>
      </c>
    </row>
    <row r="28" spans="1:41" x14ac:dyDescent="0.3">
      <c r="A28" s="6">
        <v>17</v>
      </c>
      <c r="B28" s="54">
        <v>9</v>
      </c>
      <c r="C28" s="53" t="s">
        <v>73</v>
      </c>
      <c r="D28" s="4"/>
      <c r="E28" s="4"/>
      <c r="F28" s="63"/>
      <c r="G28" s="70"/>
      <c r="H28" s="70"/>
      <c r="I28" s="70"/>
      <c r="J28" s="70"/>
      <c r="K28" s="70"/>
      <c r="L28" s="70"/>
      <c r="M28" s="4"/>
      <c r="N28" s="4"/>
      <c r="O28" s="4"/>
      <c r="P28" s="4"/>
      <c r="Q28" s="63"/>
      <c r="R28" s="4"/>
      <c r="S28" s="4"/>
      <c r="T28" s="4"/>
      <c r="U28" s="4"/>
      <c r="V28" s="4"/>
      <c r="W28" s="63"/>
      <c r="X28" s="4"/>
      <c r="Y28" s="4"/>
      <c r="Z28" s="4"/>
      <c r="AA28" s="4"/>
      <c r="AB28" s="1"/>
      <c r="AC28" s="4">
        <f t="shared" si="0"/>
        <v>0</v>
      </c>
      <c r="AD28" s="4">
        <f t="shared" si="1"/>
        <v>0</v>
      </c>
      <c r="AE28" s="4">
        <f t="shared" si="2"/>
        <v>0</v>
      </c>
      <c r="AF28" s="4">
        <f t="shared" si="3"/>
        <v>0</v>
      </c>
      <c r="AG28" s="10">
        <f t="shared" si="4"/>
        <v>0</v>
      </c>
    </row>
    <row r="29" spans="1:41" x14ac:dyDescent="0.3">
      <c r="A29" s="6">
        <v>18</v>
      </c>
      <c r="B29" s="54">
        <v>9</v>
      </c>
      <c r="C29" s="53" t="s">
        <v>74</v>
      </c>
      <c r="D29" s="4"/>
      <c r="E29" s="4"/>
      <c r="F29" s="63"/>
      <c r="G29" s="70"/>
      <c r="H29" s="70"/>
      <c r="I29" s="70"/>
      <c r="J29" s="70"/>
      <c r="K29" s="70"/>
      <c r="L29" s="70"/>
      <c r="M29" s="4"/>
      <c r="N29" s="4"/>
      <c r="O29" s="4"/>
      <c r="P29" s="4"/>
      <c r="Q29" s="63"/>
      <c r="R29" s="4"/>
      <c r="S29" s="4"/>
      <c r="T29" s="4"/>
      <c r="U29" s="4"/>
      <c r="V29" s="4"/>
      <c r="W29" s="63"/>
      <c r="X29" s="4"/>
      <c r="Y29" s="4"/>
      <c r="Z29" s="4"/>
      <c r="AA29" s="4"/>
      <c r="AB29" s="1"/>
      <c r="AC29" s="4">
        <f t="shared" si="0"/>
        <v>0</v>
      </c>
      <c r="AD29" s="4">
        <f t="shared" si="1"/>
        <v>0</v>
      </c>
      <c r="AE29" s="4">
        <f t="shared" si="2"/>
        <v>0</v>
      </c>
      <c r="AF29" s="4">
        <f t="shared" si="3"/>
        <v>0</v>
      </c>
      <c r="AG29" s="10">
        <f t="shared" si="4"/>
        <v>0</v>
      </c>
    </row>
    <row r="30" spans="1:41" x14ac:dyDescent="0.3">
      <c r="A30" s="6">
        <v>19</v>
      </c>
      <c r="B30" s="54">
        <v>9</v>
      </c>
      <c r="C30" s="53" t="s">
        <v>75</v>
      </c>
      <c r="D30" s="4"/>
      <c r="E30" s="4"/>
      <c r="F30" s="63"/>
      <c r="G30" s="70"/>
      <c r="H30" s="70"/>
      <c r="I30" s="70"/>
      <c r="J30" s="70"/>
      <c r="K30" s="70"/>
      <c r="L30" s="70"/>
      <c r="M30" s="4"/>
      <c r="N30" s="4"/>
      <c r="O30" s="4"/>
      <c r="P30" s="4"/>
      <c r="Q30" s="63"/>
      <c r="R30" s="4"/>
      <c r="S30" s="4"/>
      <c r="T30" s="4"/>
      <c r="U30" s="4"/>
      <c r="V30" s="4"/>
      <c r="W30" s="63"/>
      <c r="X30" s="4"/>
      <c r="Y30" s="4"/>
      <c r="Z30" s="4"/>
      <c r="AA30" s="4"/>
      <c r="AB30" s="1"/>
      <c r="AC30" s="4">
        <f t="shared" si="0"/>
        <v>0</v>
      </c>
      <c r="AD30" s="4">
        <f t="shared" si="1"/>
        <v>0</v>
      </c>
      <c r="AE30" s="4">
        <f t="shared" si="2"/>
        <v>0</v>
      </c>
      <c r="AF30" s="4">
        <f t="shared" si="3"/>
        <v>0</v>
      </c>
      <c r="AG30" s="10">
        <f t="shared" si="4"/>
        <v>0</v>
      </c>
    </row>
    <row r="31" spans="1:41" x14ac:dyDescent="0.3">
      <c r="A31" s="6">
        <v>20</v>
      </c>
      <c r="B31" s="54">
        <v>9</v>
      </c>
      <c r="C31" s="53" t="s">
        <v>76</v>
      </c>
      <c r="D31" s="4"/>
      <c r="E31" s="4"/>
      <c r="F31" s="63"/>
      <c r="G31" s="70"/>
      <c r="H31" s="70"/>
      <c r="I31" s="70"/>
      <c r="J31" s="70"/>
      <c r="K31" s="70"/>
      <c r="L31" s="70"/>
      <c r="M31" s="4"/>
      <c r="N31" s="4"/>
      <c r="O31" s="4"/>
      <c r="P31" s="4"/>
      <c r="Q31" s="63"/>
      <c r="R31" s="4"/>
      <c r="S31" s="4"/>
      <c r="T31" s="4"/>
      <c r="U31" s="4"/>
      <c r="V31" s="4"/>
      <c r="W31" s="63"/>
      <c r="X31" s="4"/>
      <c r="Y31" s="4"/>
      <c r="Z31" s="4"/>
      <c r="AA31" s="4"/>
      <c r="AB31" s="1"/>
      <c r="AC31" s="4">
        <f t="shared" si="0"/>
        <v>0</v>
      </c>
      <c r="AD31" s="4">
        <f t="shared" si="1"/>
        <v>0</v>
      </c>
      <c r="AE31" s="4">
        <f t="shared" si="2"/>
        <v>0</v>
      </c>
      <c r="AF31" s="4">
        <f t="shared" si="3"/>
        <v>0</v>
      </c>
      <c r="AG31" s="10">
        <f t="shared" si="4"/>
        <v>0</v>
      </c>
    </row>
    <row r="32" spans="1:41" x14ac:dyDescent="0.3">
      <c r="A32" s="6">
        <v>21</v>
      </c>
      <c r="B32" s="54">
        <v>10</v>
      </c>
      <c r="C32" s="53" t="s">
        <v>77</v>
      </c>
      <c r="D32" s="4"/>
      <c r="E32" s="4"/>
      <c r="F32" s="63"/>
      <c r="G32" s="70"/>
      <c r="H32" s="70"/>
      <c r="I32" s="70"/>
      <c r="J32" s="70"/>
      <c r="K32" s="70"/>
      <c r="L32" s="70"/>
      <c r="M32" s="4"/>
      <c r="N32" s="4"/>
      <c r="O32" s="4"/>
      <c r="P32" s="4"/>
      <c r="Q32" s="63"/>
      <c r="R32" s="4"/>
      <c r="S32" s="4"/>
      <c r="T32" s="4"/>
      <c r="U32" s="4"/>
      <c r="V32" s="4"/>
      <c r="W32" s="63"/>
      <c r="X32" s="4"/>
      <c r="Y32" s="4"/>
      <c r="Z32" s="4"/>
      <c r="AA32" s="4"/>
      <c r="AB32" s="1"/>
      <c r="AC32" s="4">
        <f t="shared" si="0"/>
        <v>0</v>
      </c>
      <c r="AD32" s="4">
        <f t="shared" si="1"/>
        <v>0</v>
      </c>
      <c r="AE32" s="4">
        <f t="shared" si="2"/>
        <v>0</v>
      </c>
      <c r="AF32" s="4">
        <f t="shared" si="3"/>
        <v>0</v>
      </c>
      <c r="AG32" s="10">
        <f t="shared" si="4"/>
        <v>0</v>
      </c>
    </row>
    <row r="33" spans="1:33" x14ac:dyDescent="0.3">
      <c r="A33" s="6">
        <v>22</v>
      </c>
      <c r="B33" s="54">
        <v>10</v>
      </c>
      <c r="C33" s="53" t="s">
        <v>78</v>
      </c>
      <c r="D33" s="4"/>
      <c r="E33" s="4"/>
      <c r="F33" s="63"/>
      <c r="G33" s="70"/>
      <c r="H33" s="70"/>
      <c r="I33" s="70"/>
      <c r="J33" s="70"/>
      <c r="K33" s="70"/>
      <c r="L33" s="70"/>
      <c r="M33" s="4"/>
      <c r="N33" s="4"/>
      <c r="O33" s="4"/>
      <c r="P33" s="4"/>
      <c r="Q33" s="63"/>
      <c r="R33" s="4"/>
      <c r="S33" s="4"/>
      <c r="T33" s="4"/>
      <c r="U33" s="4"/>
      <c r="V33" s="4"/>
      <c r="W33" s="63"/>
      <c r="X33" s="4"/>
      <c r="Y33" s="4"/>
      <c r="Z33" s="4"/>
      <c r="AA33" s="4"/>
      <c r="AB33" s="1"/>
      <c r="AC33" s="4">
        <f t="shared" si="0"/>
        <v>0</v>
      </c>
      <c r="AD33" s="4">
        <f t="shared" si="1"/>
        <v>0</v>
      </c>
      <c r="AE33" s="4">
        <f t="shared" si="2"/>
        <v>0</v>
      </c>
      <c r="AF33" s="4">
        <f t="shared" si="3"/>
        <v>0</v>
      </c>
      <c r="AG33" s="10">
        <f t="shared" si="4"/>
        <v>0</v>
      </c>
    </row>
    <row r="34" spans="1:33" x14ac:dyDescent="0.3">
      <c r="A34" s="6">
        <v>23</v>
      </c>
      <c r="B34" s="54">
        <v>10</v>
      </c>
      <c r="C34" s="53" t="s">
        <v>79</v>
      </c>
      <c r="D34" s="4"/>
      <c r="E34" s="4"/>
      <c r="F34" s="63"/>
      <c r="G34" s="70"/>
      <c r="H34" s="70"/>
      <c r="I34" s="70"/>
      <c r="J34" s="70"/>
      <c r="K34" s="70"/>
      <c r="L34" s="70"/>
      <c r="M34" s="4"/>
      <c r="N34" s="4"/>
      <c r="O34" s="4"/>
      <c r="P34" s="4"/>
      <c r="Q34" s="63"/>
      <c r="R34" s="4"/>
      <c r="S34" s="4"/>
      <c r="T34" s="4"/>
      <c r="U34" s="4"/>
      <c r="V34" s="4"/>
      <c r="W34" s="63"/>
      <c r="X34" s="4"/>
      <c r="Y34" s="4"/>
      <c r="Z34" s="4"/>
      <c r="AA34" s="4"/>
      <c r="AB34" s="1"/>
      <c r="AC34" s="4">
        <f t="shared" si="0"/>
        <v>0</v>
      </c>
      <c r="AD34" s="4">
        <f t="shared" si="1"/>
        <v>0</v>
      </c>
      <c r="AE34" s="4">
        <f t="shared" si="2"/>
        <v>0</v>
      </c>
      <c r="AF34" s="4">
        <f t="shared" si="3"/>
        <v>0</v>
      </c>
      <c r="AG34" s="10">
        <f t="shared" si="4"/>
        <v>0</v>
      </c>
    </row>
    <row r="35" spans="1:33" x14ac:dyDescent="0.3">
      <c r="A35" s="6">
        <v>24</v>
      </c>
      <c r="B35" s="54">
        <v>10</v>
      </c>
      <c r="C35" s="53" t="s">
        <v>80</v>
      </c>
      <c r="D35" s="4"/>
      <c r="E35" s="4"/>
      <c r="F35" s="63"/>
      <c r="G35" s="70"/>
      <c r="H35" s="70"/>
      <c r="I35" s="70"/>
      <c r="J35" s="70"/>
      <c r="K35" s="70"/>
      <c r="L35" s="70"/>
      <c r="M35" s="4"/>
      <c r="N35" s="4"/>
      <c r="O35" s="4"/>
      <c r="P35" s="4"/>
      <c r="Q35" s="63"/>
      <c r="R35" s="4"/>
      <c r="S35" s="4"/>
      <c r="T35" s="4"/>
      <c r="U35" s="4"/>
      <c r="V35" s="4"/>
      <c r="W35" s="63"/>
      <c r="X35" s="4"/>
      <c r="Y35" s="4"/>
      <c r="Z35" s="4"/>
      <c r="AA35" s="4"/>
      <c r="AB35" s="1"/>
      <c r="AC35" s="4">
        <f t="shared" si="0"/>
        <v>0</v>
      </c>
      <c r="AD35" s="4">
        <f t="shared" si="1"/>
        <v>0</v>
      </c>
      <c r="AE35" s="4">
        <f t="shared" si="2"/>
        <v>0</v>
      </c>
      <c r="AF35" s="4">
        <f t="shared" si="3"/>
        <v>0</v>
      </c>
      <c r="AG35" s="10">
        <f t="shared" si="4"/>
        <v>0</v>
      </c>
    </row>
    <row r="36" spans="1:33" x14ac:dyDescent="0.3">
      <c r="A36" s="6">
        <v>25</v>
      </c>
      <c r="B36" s="54">
        <v>10</v>
      </c>
      <c r="C36" s="53" t="s">
        <v>81</v>
      </c>
      <c r="D36" s="4"/>
      <c r="E36" s="4"/>
      <c r="F36" s="63"/>
      <c r="G36" s="70"/>
      <c r="H36" s="70"/>
      <c r="I36" s="70"/>
      <c r="J36" s="70"/>
      <c r="K36" s="70"/>
      <c r="L36" s="70"/>
      <c r="M36" s="4"/>
      <c r="N36" s="4"/>
      <c r="O36" s="4"/>
      <c r="P36" s="4"/>
      <c r="Q36" s="63"/>
      <c r="R36" s="4"/>
      <c r="S36" s="4"/>
      <c r="T36" s="4"/>
      <c r="U36" s="4"/>
      <c r="V36" s="4"/>
      <c r="W36" s="63"/>
      <c r="X36" s="4"/>
      <c r="Y36" s="4"/>
      <c r="Z36" s="4"/>
      <c r="AA36" s="4"/>
      <c r="AB36" s="1"/>
      <c r="AC36" s="4">
        <f t="shared" si="0"/>
        <v>0</v>
      </c>
      <c r="AD36" s="4">
        <f t="shared" si="1"/>
        <v>0</v>
      </c>
      <c r="AE36" s="4">
        <f t="shared" si="2"/>
        <v>0</v>
      </c>
      <c r="AF36" s="4">
        <f t="shared" si="3"/>
        <v>0</v>
      </c>
      <c r="AG36" s="10">
        <f t="shared" si="4"/>
        <v>0</v>
      </c>
    </row>
    <row r="37" spans="1:33" x14ac:dyDescent="0.3">
      <c r="A37" s="6">
        <v>26</v>
      </c>
      <c r="B37" s="54">
        <v>10</v>
      </c>
      <c r="C37" s="53" t="s">
        <v>82</v>
      </c>
      <c r="D37" s="4"/>
      <c r="E37" s="4"/>
      <c r="F37" s="63"/>
      <c r="G37" s="70"/>
      <c r="H37" s="70"/>
      <c r="I37" s="70"/>
      <c r="J37" s="70"/>
      <c r="K37" s="70"/>
      <c r="L37" s="70"/>
      <c r="M37" s="4"/>
      <c r="N37" s="4"/>
      <c r="O37" s="4"/>
      <c r="P37" s="4"/>
      <c r="Q37" s="63"/>
      <c r="R37" s="4"/>
      <c r="S37" s="4"/>
      <c r="T37" s="4"/>
      <c r="U37" s="4"/>
      <c r="V37" s="4"/>
      <c r="W37" s="63"/>
      <c r="X37" s="4"/>
      <c r="Y37" s="4"/>
      <c r="Z37" s="4"/>
      <c r="AA37" s="4"/>
      <c r="AB37" s="1"/>
      <c r="AC37" s="4">
        <f t="shared" ref="AC37:AC39" si="5">COUNTIF(D37:Y37,1)</f>
        <v>0</v>
      </c>
      <c r="AD37" s="4">
        <f t="shared" ref="AD37:AD39" si="6">COUNTIF(D37:Y37,0)</f>
        <v>0</v>
      </c>
      <c r="AE37" s="4">
        <f t="shared" ref="AE37:AE39" si="7">COUNTIF(D37:Y37,"T")</f>
        <v>0</v>
      </c>
      <c r="AF37" s="4">
        <f t="shared" ref="AF37:AF39" si="8">COUNTIF(D37:Y37,"J")</f>
        <v>0</v>
      </c>
      <c r="AG37" s="10">
        <f t="shared" ref="AG37:AG39" si="9">SUM(AC37+AE37)/16</f>
        <v>0</v>
      </c>
    </row>
    <row r="38" spans="1:33" x14ac:dyDescent="0.3">
      <c r="A38" s="6">
        <v>27</v>
      </c>
      <c r="B38" s="54">
        <v>10</v>
      </c>
      <c r="C38" s="53" t="s">
        <v>83</v>
      </c>
      <c r="D38" s="4"/>
      <c r="E38" s="4"/>
      <c r="F38" s="63"/>
      <c r="G38" s="70"/>
      <c r="H38" s="70"/>
      <c r="I38" s="70"/>
      <c r="J38" s="70"/>
      <c r="K38" s="70"/>
      <c r="L38" s="70"/>
      <c r="M38" s="4"/>
      <c r="N38" s="4"/>
      <c r="O38" s="4"/>
      <c r="P38" s="4"/>
      <c r="Q38" s="63"/>
      <c r="R38" s="4"/>
      <c r="S38" s="4"/>
      <c r="T38" s="4"/>
      <c r="U38" s="4"/>
      <c r="V38" s="4"/>
      <c r="W38" s="63"/>
      <c r="X38" s="4"/>
      <c r="Y38" s="4"/>
      <c r="Z38" s="4"/>
      <c r="AA38" s="4"/>
      <c r="AB38" s="1"/>
      <c r="AC38" s="4">
        <f t="shared" si="5"/>
        <v>0</v>
      </c>
      <c r="AD38" s="4">
        <f t="shared" si="6"/>
        <v>0</v>
      </c>
      <c r="AE38" s="4">
        <f t="shared" si="7"/>
        <v>0</v>
      </c>
      <c r="AF38" s="4">
        <f t="shared" si="8"/>
        <v>0</v>
      </c>
      <c r="AG38" s="10">
        <f t="shared" si="9"/>
        <v>0</v>
      </c>
    </row>
    <row r="39" spans="1:33" x14ac:dyDescent="0.3">
      <c r="A39" s="6">
        <v>28</v>
      </c>
      <c r="B39" s="54">
        <v>11</v>
      </c>
      <c r="C39" s="53" t="s">
        <v>84</v>
      </c>
      <c r="D39" s="4"/>
      <c r="E39" s="4"/>
      <c r="F39" s="63"/>
      <c r="G39" s="70"/>
      <c r="H39" s="70"/>
      <c r="I39" s="70"/>
      <c r="J39" s="70"/>
      <c r="K39" s="70"/>
      <c r="L39" s="70"/>
      <c r="M39" s="4"/>
      <c r="N39" s="4"/>
      <c r="O39" s="4"/>
      <c r="P39" s="4"/>
      <c r="Q39" s="63"/>
      <c r="R39" s="4"/>
      <c r="S39" s="4"/>
      <c r="T39" s="4"/>
      <c r="U39" s="4"/>
      <c r="V39" s="4"/>
      <c r="W39" s="63"/>
      <c r="X39" s="4"/>
      <c r="Y39" s="4"/>
      <c r="Z39" s="4"/>
      <c r="AA39" s="4"/>
      <c r="AB39" s="1"/>
      <c r="AC39" s="4">
        <f t="shared" si="5"/>
        <v>0</v>
      </c>
      <c r="AD39" s="4">
        <f t="shared" si="6"/>
        <v>0</v>
      </c>
      <c r="AE39" s="4">
        <f t="shared" si="7"/>
        <v>0</v>
      </c>
      <c r="AF39" s="4">
        <f t="shared" si="8"/>
        <v>0</v>
      </c>
      <c r="AG39" s="10">
        <f t="shared" si="9"/>
        <v>0</v>
      </c>
    </row>
  </sheetData>
  <mergeCells count="26">
    <mergeCell ref="F11:F39"/>
    <mergeCell ref="G12:K39"/>
    <mergeCell ref="L11:L39"/>
    <mergeCell ref="Q11:Q39"/>
    <mergeCell ref="W11:W39"/>
    <mergeCell ref="K9:S9"/>
    <mergeCell ref="Y9:AD9"/>
    <mergeCell ref="C2:Z6"/>
    <mergeCell ref="C7:Z7"/>
    <mergeCell ref="AJ11:AQ11"/>
    <mergeCell ref="AC10:AD10"/>
    <mergeCell ref="AE1:AG10"/>
    <mergeCell ref="A8:AD8"/>
    <mergeCell ref="A9:B9"/>
    <mergeCell ref="C9:G9"/>
    <mergeCell ref="H9:J9"/>
    <mergeCell ref="A1:B7"/>
    <mergeCell ref="C1:AD1"/>
    <mergeCell ref="AA2:AD3"/>
    <mergeCell ref="AA4:AD5"/>
    <mergeCell ref="AA6:AD7"/>
    <mergeCell ref="A10:B10"/>
    <mergeCell ref="C10:J10"/>
    <mergeCell ref="K10:S10"/>
    <mergeCell ref="T10:Z10"/>
    <mergeCell ref="AA10:AB10"/>
  </mergeCells>
  <conditionalFormatting sqref="F11 G12 M12:P23 R12:V23 X12:AA23 E13:E23">
    <cfRule type="cellIs" dxfId="77" priority="2" operator="equal">
      <formula>"T"</formula>
    </cfRule>
  </conditionalFormatting>
  <conditionalFormatting sqref="F11 L11 Q11 W11 G12 D12:E39 M12:P39 R12:V39 X12:AB39">
    <cfRule type="cellIs" dxfId="76" priority="1" stopIfTrue="1" operator="equal">
      <formula>"T"</formula>
    </cfRule>
    <cfRule type="cellIs" dxfId="75" priority="8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40B7E2C-150D-4439-8353-268323825B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E13:E15 D40:AB63 D24:E39 M24:P39 R24:V39 X24:AA39</xm:sqref>
        </x14:conditionalFormatting>
        <x14:conditionalFormatting xmlns:xm="http://schemas.microsoft.com/office/excel/2006/main">
          <x14:cfRule type="iconSet" priority="7" id="{6FC6A3DB-6CE2-49DF-9636-6BCBB4140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Q11 F11 L11 W11 D12:E39 G12 M12:P39 R12:V39 X12:AB39</xm:sqref>
        </x14:conditionalFormatting>
        <x14:conditionalFormatting xmlns:xm="http://schemas.microsoft.com/office/excel/2006/main">
          <x14:cfRule type="iconSet" priority="6" id="{EFF1FA69-780A-4714-B85E-C28E23569F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R12:V12 G12 E13:E23 F11 M12:P12 X12:AA12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E9BC-063F-4041-A35B-430C2F3F6AB2}">
  <sheetPr codeName="Hoja11"/>
  <dimension ref="A1:AN39"/>
  <sheetViews>
    <sheetView topLeftCell="A5" zoomScale="90" zoomScaleNormal="90" workbookViewId="0">
      <selection activeCell="AG11" sqref="AG11:AN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6" width="3.33203125" customWidth="1"/>
    <col min="7" max="7" width="3" customWidth="1"/>
    <col min="8" max="8" width="3.88671875" customWidth="1"/>
    <col min="9" max="12" width="3.21875" bestFit="1" customWidth="1"/>
    <col min="13" max="25" width="3.21875" customWidth="1"/>
    <col min="26" max="26" width="11.77734375" customWidth="1"/>
    <col min="27" max="27" width="7.33203125" bestFit="1" customWidth="1"/>
    <col min="28" max="28" width="7" bestFit="1" customWidth="1"/>
    <col min="29" max="29" width="14.77734375" bestFit="1" customWidth="1"/>
    <col min="30" max="30" width="13.77734375" bestFit="1" customWidth="1"/>
  </cols>
  <sheetData>
    <row r="1" spans="1:40" x14ac:dyDescent="0.3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4"/>
    </row>
    <row r="2" spans="1:40" x14ac:dyDescent="0.3">
      <c r="A2" s="26"/>
      <c r="B2" s="27"/>
      <c r="C2" s="61" t="e" vm="1">
        <v>#VALUE!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84" t="s">
        <v>15</v>
      </c>
      <c r="AB2" s="84"/>
      <c r="AC2" s="84"/>
      <c r="AD2" s="62"/>
    </row>
    <row r="3" spans="1:40" x14ac:dyDescent="0.3">
      <c r="A3" s="28"/>
      <c r="B3" s="2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85"/>
      <c r="AB3" s="85"/>
      <c r="AC3" s="85"/>
      <c r="AD3" s="74"/>
    </row>
    <row r="4" spans="1:40" x14ac:dyDescent="0.3">
      <c r="A4" s="30"/>
      <c r="B4" s="31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86" t="s">
        <v>17</v>
      </c>
      <c r="AB4" s="86"/>
      <c r="AC4" s="86"/>
      <c r="AD4" s="74"/>
    </row>
    <row r="5" spans="1:40" x14ac:dyDescent="0.3">
      <c r="A5" s="30"/>
      <c r="B5" s="31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86"/>
      <c r="AB5" s="86"/>
      <c r="AC5" s="86"/>
      <c r="AD5" s="74"/>
    </row>
    <row r="6" spans="1:40" x14ac:dyDescent="0.3">
      <c r="A6" s="30"/>
      <c r="B6" s="31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86" t="s">
        <v>16</v>
      </c>
      <c r="AB6" s="86"/>
      <c r="AC6" s="86"/>
      <c r="AD6" s="74"/>
    </row>
    <row r="7" spans="1:40" x14ac:dyDescent="0.3">
      <c r="A7" s="32"/>
      <c r="B7" s="33"/>
      <c r="C7" s="88" t="s">
        <v>18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7"/>
      <c r="AB7" s="87"/>
      <c r="AC7" s="87"/>
      <c r="AD7" s="77"/>
    </row>
    <row r="8" spans="1:40" x14ac:dyDescent="0.3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2"/>
    </row>
    <row r="9" spans="1:40" x14ac:dyDescent="0.3">
      <c r="A9" s="58" t="s">
        <v>19</v>
      </c>
      <c r="B9" s="58"/>
      <c r="C9" s="57"/>
      <c r="D9" s="57"/>
      <c r="E9" s="57"/>
      <c r="F9" s="57"/>
      <c r="G9" s="57"/>
      <c r="H9" s="58" t="s">
        <v>20</v>
      </c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1" t="s">
        <v>21</v>
      </c>
      <c r="U9" s="1"/>
      <c r="V9" s="1"/>
      <c r="W9" s="1"/>
      <c r="X9" s="1"/>
      <c r="Y9" s="57"/>
      <c r="Z9" s="57"/>
      <c r="AA9" s="57"/>
      <c r="AB9" s="57"/>
      <c r="AC9" s="57"/>
      <c r="AD9" s="57"/>
    </row>
    <row r="10" spans="1:40" ht="15" thickBot="1" x14ac:dyDescent="0.35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 t="s">
        <v>23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 t="s">
        <v>22</v>
      </c>
      <c r="AB10" s="57"/>
      <c r="AC10" s="57"/>
      <c r="AD10" s="57"/>
    </row>
    <row r="11" spans="1:40" s="3" customFormat="1" x14ac:dyDescent="0.3">
      <c r="A11" s="6" t="s">
        <v>8</v>
      </c>
      <c r="B11" s="2" t="s">
        <v>7</v>
      </c>
      <c r="C11" s="11" t="s">
        <v>0</v>
      </c>
      <c r="D11" s="1">
        <v>3</v>
      </c>
      <c r="E11" s="1">
        <v>4</v>
      </c>
      <c r="F11" s="1">
        <v>5</v>
      </c>
      <c r="G11" s="1">
        <v>6</v>
      </c>
      <c r="H11" s="60"/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60"/>
      <c r="O11" s="1">
        <v>17</v>
      </c>
      <c r="P11" s="1">
        <v>18</v>
      </c>
      <c r="Q11" s="1">
        <v>19</v>
      </c>
      <c r="R11" s="1">
        <v>20</v>
      </c>
      <c r="S11" s="60"/>
      <c r="T11" s="1">
        <v>23</v>
      </c>
      <c r="U11" s="1">
        <v>24</v>
      </c>
      <c r="V11" s="1">
        <v>25</v>
      </c>
      <c r="W11" s="1">
        <v>26</v>
      </c>
      <c r="X11" s="1">
        <v>27</v>
      </c>
      <c r="Y11" s="60"/>
      <c r="Z11" s="1" t="s">
        <v>1</v>
      </c>
      <c r="AA11" s="1" t="s">
        <v>2</v>
      </c>
      <c r="AB11" s="1" t="s">
        <v>3</v>
      </c>
      <c r="AC11" s="1" t="s">
        <v>4</v>
      </c>
      <c r="AD11" s="1" t="s">
        <v>5</v>
      </c>
      <c r="AG11" s="71" t="s">
        <v>9</v>
      </c>
      <c r="AH11" s="72"/>
      <c r="AI11" s="72"/>
      <c r="AJ11" s="72"/>
      <c r="AK11" s="72"/>
      <c r="AL11" s="72"/>
      <c r="AM11" s="72"/>
      <c r="AN11" s="73"/>
    </row>
    <row r="12" spans="1:40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1"/>
      <c r="G12" s="1"/>
      <c r="H12" s="63"/>
      <c r="I12" s="1"/>
      <c r="J12" s="1"/>
      <c r="K12" s="1"/>
      <c r="L12" s="1"/>
      <c r="M12" s="1"/>
      <c r="N12" s="63"/>
      <c r="O12" s="1"/>
      <c r="P12" s="1"/>
      <c r="Q12" s="1"/>
      <c r="R12" s="1"/>
      <c r="S12" s="63"/>
      <c r="T12" s="1"/>
      <c r="U12" s="1"/>
      <c r="V12" s="1"/>
      <c r="W12" s="1"/>
      <c r="X12" s="1"/>
      <c r="Y12" s="63"/>
      <c r="Z12" s="4">
        <f t="shared" ref="Z12:Z36" si="0">COUNTIF(D12:Y12,1)</f>
        <v>0</v>
      </c>
      <c r="AA12" s="4">
        <f t="shared" ref="AA12:AA36" si="1">COUNTIF(D12:Y12,0)</f>
        <v>0</v>
      </c>
      <c r="AB12" s="4">
        <f t="shared" ref="AB12:AB36" si="2">COUNTIF(D12:Y12,"T")</f>
        <v>0</v>
      </c>
      <c r="AC12" s="4">
        <f t="shared" ref="AC12:AC36" si="3">COUNTIF(D12:Y12,"J")</f>
        <v>0</v>
      </c>
      <c r="AD12" s="10">
        <f>SUM(Z12+AB12)/18</f>
        <v>0</v>
      </c>
      <c r="AG12" s="17"/>
      <c r="AH12" s="14">
        <v>1</v>
      </c>
      <c r="AI12" s="3" t="s">
        <v>10</v>
      </c>
      <c r="AJ12" s="8"/>
      <c r="AK12" s="8"/>
      <c r="AN12" s="18"/>
    </row>
    <row r="13" spans="1:40" s="3" customFormat="1" x14ac:dyDescent="0.3">
      <c r="A13" s="6">
        <v>2</v>
      </c>
      <c r="B13" s="47">
        <v>6</v>
      </c>
      <c r="C13" s="53" t="s">
        <v>58</v>
      </c>
      <c r="D13" s="1"/>
      <c r="E13" s="1"/>
      <c r="F13" s="1"/>
      <c r="G13" s="4"/>
      <c r="H13" s="63"/>
      <c r="I13" s="1"/>
      <c r="J13" s="1"/>
      <c r="K13" s="1"/>
      <c r="L13" s="1"/>
      <c r="M13" s="1"/>
      <c r="N13" s="63"/>
      <c r="O13" s="1"/>
      <c r="P13" s="1"/>
      <c r="Q13" s="1"/>
      <c r="R13" s="1"/>
      <c r="S13" s="63"/>
      <c r="T13" s="1"/>
      <c r="U13" s="1"/>
      <c r="V13" s="1"/>
      <c r="W13" s="1"/>
      <c r="X13" s="1"/>
      <c r="Y13" s="63"/>
      <c r="Z13" s="4">
        <f t="shared" si="0"/>
        <v>0</v>
      </c>
      <c r="AA13" s="4">
        <f t="shared" si="1"/>
        <v>0</v>
      </c>
      <c r="AB13" s="4">
        <f t="shared" si="2"/>
        <v>0</v>
      </c>
      <c r="AC13" s="4">
        <f t="shared" si="3"/>
        <v>0</v>
      </c>
      <c r="AD13" s="10">
        <f t="shared" ref="AD13:AD36" si="4">SUM(Z13+AB13)/18</f>
        <v>0</v>
      </c>
      <c r="AG13" s="17"/>
      <c r="AH13" s="15">
        <v>0</v>
      </c>
      <c r="AI13" s="3" t="s">
        <v>14</v>
      </c>
      <c r="AN13" s="18"/>
    </row>
    <row r="14" spans="1:40" s="3" customFormat="1" x14ac:dyDescent="0.3">
      <c r="A14" s="6">
        <v>3</v>
      </c>
      <c r="B14" s="47">
        <v>6</v>
      </c>
      <c r="C14" s="53" t="s">
        <v>59</v>
      </c>
      <c r="D14" s="1"/>
      <c r="E14" s="1"/>
      <c r="F14" s="1"/>
      <c r="G14" s="4"/>
      <c r="H14" s="63"/>
      <c r="I14" s="1"/>
      <c r="J14" s="1"/>
      <c r="K14" s="1"/>
      <c r="L14" s="1"/>
      <c r="M14" s="1"/>
      <c r="N14" s="63"/>
      <c r="O14" s="1"/>
      <c r="P14" s="1"/>
      <c r="Q14" s="1"/>
      <c r="R14" s="1"/>
      <c r="S14" s="63"/>
      <c r="T14" s="1"/>
      <c r="U14" s="1"/>
      <c r="V14" s="1"/>
      <c r="W14" s="1"/>
      <c r="X14" s="1"/>
      <c r="Y14" s="63"/>
      <c r="Z14" s="4">
        <f t="shared" si="0"/>
        <v>0</v>
      </c>
      <c r="AA14" s="4">
        <f t="shared" si="1"/>
        <v>0</v>
      </c>
      <c r="AB14" s="4">
        <f t="shared" si="2"/>
        <v>0</v>
      </c>
      <c r="AC14" s="4">
        <f t="shared" si="3"/>
        <v>0</v>
      </c>
      <c r="AD14" s="10">
        <f t="shared" si="4"/>
        <v>0</v>
      </c>
      <c r="AG14" s="17"/>
      <c r="AH14" s="16" t="s">
        <v>11</v>
      </c>
      <c r="AI14" s="3" t="s">
        <v>12</v>
      </c>
      <c r="AN14" s="18"/>
    </row>
    <row r="15" spans="1:40" ht="15" thickBot="1" x14ac:dyDescent="0.35">
      <c r="A15" s="6">
        <v>4</v>
      </c>
      <c r="B15" s="47">
        <v>7</v>
      </c>
      <c r="C15" s="53" t="s">
        <v>60</v>
      </c>
      <c r="D15" s="1"/>
      <c r="E15" s="1"/>
      <c r="F15" s="1"/>
      <c r="G15" s="4"/>
      <c r="H15" s="63"/>
      <c r="I15" s="1"/>
      <c r="J15" s="1"/>
      <c r="K15" s="1"/>
      <c r="L15" s="1"/>
      <c r="M15" s="1"/>
      <c r="N15" s="63"/>
      <c r="O15" s="1"/>
      <c r="P15" s="1"/>
      <c r="Q15" s="1"/>
      <c r="R15" s="1"/>
      <c r="S15" s="63"/>
      <c r="T15" s="1"/>
      <c r="U15" s="1"/>
      <c r="V15" s="1"/>
      <c r="W15" s="1"/>
      <c r="X15" s="1"/>
      <c r="Y15" s="63"/>
      <c r="Z15" s="4">
        <f t="shared" si="0"/>
        <v>0</v>
      </c>
      <c r="AA15" s="4">
        <f t="shared" si="1"/>
        <v>0</v>
      </c>
      <c r="AB15" s="4">
        <f t="shared" si="2"/>
        <v>0</v>
      </c>
      <c r="AC15" s="4">
        <f t="shared" si="3"/>
        <v>0</v>
      </c>
      <c r="AD15" s="10">
        <f t="shared" si="4"/>
        <v>0</v>
      </c>
      <c r="AG15" s="19"/>
      <c r="AH15" s="20" t="s">
        <v>6</v>
      </c>
      <c r="AI15" s="21" t="s">
        <v>13</v>
      </c>
      <c r="AJ15" s="22"/>
      <c r="AK15" s="22"/>
      <c r="AL15" s="22"/>
      <c r="AM15" s="22"/>
      <c r="AN15" s="23"/>
    </row>
    <row r="16" spans="1:40" x14ac:dyDescent="0.3">
      <c r="A16" s="6">
        <v>5</v>
      </c>
      <c r="B16" s="47">
        <v>7</v>
      </c>
      <c r="C16" s="53" t="s">
        <v>61</v>
      </c>
      <c r="D16" s="1"/>
      <c r="E16" s="1"/>
      <c r="F16" s="1"/>
      <c r="G16" s="1"/>
      <c r="H16" s="63"/>
      <c r="I16" s="1"/>
      <c r="J16" s="1"/>
      <c r="K16" s="1"/>
      <c r="L16" s="1"/>
      <c r="M16" s="1"/>
      <c r="N16" s="63"/>
      <c r="O16" s="1"/>
      <c r="P16" s="1"/>
      <c r="Q16" s="1"/>
      <c r="R16" s="1"/>
      <c r="S16" s="63"/>
      <c r="T16" s="1"/>
      <c r="U16" s="1"/>
      <c r="V16" s="1"/>
      <c r="W16" s="1"/>
      <c r="X16" s="1"/>
      <c r="Y16" s="63"/>
      <c r="Z16" s="4">
        <f t="shared" si="0"/>
        <v>0</v>
      </c>
      <c r="AA16" s="4">
        <f t="shared" si="1"/>
        <v>0</v>
      </c>
      <c r="AB16" s="4">
        <f t="shared" si="2"/>
        <v>0</v>
      </c>
      <c r="AC16" s="4">
        <f t="shared" si="3"/>
        <v>0</v>
      </c>
      <c r="AD16" s="10">
        <f t="shared" si="4"/>
        <v>0</v>
      </c>
      <c r="AH16" t="s">
        <v>50</v>
      </c>
      <c r="AI16" s="3" t="s">
        <v>51</v>
      </c>
    </row>
    <row r="17" spans="1:38" x14ac:dyDescent="0.3">
      <c r="A17" s="6">
        <v>6</v>
      </c>
      <c r="B17" s="47">
        <v>7</v>
      </c>
      <c r="C17" s="53" t="s">
        <v>62</v>
      </c>
      <c r="D17" s="1"/>
      <c r="E17" s="1"/>
      <c r="F17" s="1"/>
      <c r="G17" s="1"/>
      <c r="H17" s="63"/>
      <c r="I17" s="1"/>
      <c r="J17" s="1"/>
      <c r="K17" s="1"/>
      <c r="L17" s="1"/>
      <c r="M17" s="1"/>
      <c r="N17" s="63"/>
      <c r="O17" s="1"/>
      <c r="P17" s="1"/>
      <c r="Q17" s="1"/>
      <c r="R17" s="1"/>
      <c r="S17" s="63"/>
      <c r="T17" s="1"/>
      <c r="U17" s="1"/>
      <c r="V17" s="1"/>
      <c r="W17" s="1"/>
      <c r="X17" s="1"/>
      <c r="Y17" s="63"/>
      <c r="Z17" s="4">
        <f t="shared" si="0"/>
        <v>0</v>
      </c>
      <c r="AA17" s="4">
        <f t="shared" si="1"/>
        <v>0</v>
      </c>
      <c r="AB17" s="4">
        <f t="shared" si="2"/>
        <v>0</v>
      </c>
      <c r="AC17" s="4">
        <f t="shared" si="3"/>
        <v>0</v>
      </c>
      <c r="AD17" s="10">
        <f t="shared" si="4"/>
        <v>0</v>
      </c>
    </row>
    <row r="18" spans="1:38" x14ac:dyDescent="0.3">
      <c r="A18" s="6">
        <v>7</v>
      </c>
      <c r="B18" s="47">
        <v>7</v>
      </c>
      <c r="C18" s="53" t="s">
        <v>63</v>
      </c>
      <c r="D18" s="1"/>
      <c r="E18" s="1"/>
      <c r="F18" s="1"/>
      <c r="G18" s="1"/>
      <c r="H18" s="63"/>
      <c r="I18" s="1"/>
      <c r="J18" s="1"/>
      <c r="K18" s="1"/>
      <c r="L18" s="1"/>
      <c r="M18" s="1"/>
      <c r="N18" s="63"/>
      <c r="O18" s="1"/>
      <c r="P18" s="1"/>
      <c r="Q18" s="1"/>
      <c r="R18" s="1"/>
      <c r="S18" s="63"/>
      <c r="T18" s="1"/>
      <c r="U18" s="1"/>
      <c r="V18" s="1"/>
      <c r="W18" s="1"/>
      <c r="X18" s="1"/>
      <c r="Y18" s="63"/>
      <c r="Z18" s="4">
        <f t="shared" si="0"/>
        <v>0</v>
      </c>
      <c r="AA18" s="4">
        <f t="shared" si="1"/>
        <v>0</v>
      </c>
      <c r="AB18" s="4">
        <f t="shared" si="2"/>
        <v>0</v>
      </c>
      <c r="AC18" s="4">
        <f t="shared" si="3"/>
        <v>0</v>
      </c>
      <c r="AD18" s="10">
        <f t="shared" si="4"/>
        <v>0</v>
      </c>
      <c r="AI18" s="8"/>
      <c r="AK18" s="3"/>
      <c r="AL18" s="3"/>
    </row>
    <row r="19" spans="1:38" x14ac:dyDescent="0.3">
      <c r="A19" s="6">
        <v>8</v>
      </c>
      <c r="B19" s="47">
        <v>7</v>
      </c>
      <c r="C19" s="53" t="s">
        <v>64</v>
      </c>
      <c r="D19" s="1"/>
      <c r="E19" s="1"/>
      <c r="F19" s="1"/>
      <c r="G19" s="1"/>
      <c r="H19" s="63"/>
      <c r="I19" s="1"/>
      <c r="J19" s="1"/>
      <c r="K19" s="1"/>
      <c r="L19" s="1"/>
      <c r="M19" s="1"/>
      <c r="N19" s="63"/>
      <c r="O19" s="1"/>
      <c r="P19" s="1"/>
      <c r="Q19" s="1"/>
      <c r="R19" s="1"/>
      <c r="S19" s="63"/>
      <c r="T19" s="1"/>
      <c r="U19" s="1"/>
      <c r="V19" s="1"/>
      <c r="W19" s="1"/>
      <c r="X19" s="1"/>
      <c r="Y19" s="63"/>
      <c r="Z19" s="4">
        <f t="shared" si="0"/>
        <v>0</v>
      </c>
      <c r="AA19" s="4">
        <f t="shared" si="1"/>
        <v>0</v>
      </c>
      <c r="AB19" s="4">
        <f t="shared" si="2"/>
        <v>0</v>
      </c>
      <c r="AC19" s="4">
        <f t="shared" si="3"/>
        <v>0</v>
      </c>
      <c r="AD19" s="10">
        <f t="shared" si="4"/>
        <v>0</v>
      </c>
      <c r="AI19" s="8"/>
    </row>
    <row r="20" spans="1:38" x14ac:dyDescent="0.3">
      <c r="A20" s="6">
        <v>9</v>
      </c>
      <c r="B20" s="47">
        <v>7</v>
      </c>
      <c r="C20" s="53" t="s">
        <v>65</v>
      </c>
      <c r="D20" s="1"/>
      <c r="E20" s="1"/>
      <c r="F20" s="1"/>
      <c r="G20" s="1"/>
      <c r="H20" s="63"/>
      <c r="I20" s="1"/>
      <c r="J20" s="1"/>
      <c r="K20" s="1"/>
      <c r="L20" s="1"/>
      <c r="M20" s="1"/>
      <c r="N20" s="63"/>
      <c r="O20" s="1"/>
      <c r="P20" s="1"/>
      <c r="Q20" s="1"/>
      <c r="R20" s="1"/>
      <c r="S20" s="63"/>
      <c r="T20" s="1"/>
      <c r="U20" s="1"/>
      <c r="V20" s="1"/>
      <c r="W20" s="1"/>
      <c r="X20" s="1"/>
      <c r="Y20" s="63"/>
      <c r="Z20" s="4">
        <f t="shared" si="0"/>
        <v>0</v>
      </c>
      <c r="AA20" s="4">
        <f t="shared" si="1"/>
        <v>0</v>
      </c>
      <c r="AB20" s="4">
        <f t="shared" si="2"/>
        <v>0</v>
      </c>
      <c r="AC20" s="4">
        <f t="shared" si="3"/>
        <v>0</v>
      </c>
      <c r="AD20" s="10">
        <f t="shared" si="4"/>
        <v>0</v>
      </c>
      <c r="AI20" s="8"/>
      <c r="AJ20" s="3"/>
      <c r="AK20" s="3"/>
      <c r="AL20" s="3"/>
    </row>
    <row r="21" spans="1:38" x14ac:dyDescent="0.3">
      <c r="A21" s="6">
        <v>10</v>
      </c>
      <c r="B21" s="47">
        <v>7</v>
      </c>
      <c r="C21" s="53" t="s">
        <v>66</v>
      </c>
      <c r="D21" s="1"/>
      <c r="E21" s="1"/>
      <c r="F21" s="1"/>
      <c r="G21" s="1"/>
      <c r="H21" s="63"/>
      <c r="I21" s="1"/>
      <c r="J21" s="1"/>
      <c r="K21" s="1"/>
      <c r="L21" s="1"/>
      <c r="M21" s="1"/>
      <c r="N21" s="63"/>
      <c r="O21" s="1"/>
      <c r="P21" s="1"/>
      <c r="Q21" s="1"/>
      <c r="R21" s="1"/>
      <c r="S21" s="63"/>
      <c r="T21" s="1"/>
      <c r="U21" s="1"/>
      <c r="V21" s="1"/>
      <c r="W21" s="1"/>
      <c r="X21" s="1"/>
      <c r="Y21" s="63"/>
      <c r="Z21" s="4">
        <f t="shared" si="0"/>
        <v>0</v>
      </c>
      <c r="AA21" s="4">
        <f t="shared" si="1"/>
        <v>0</v>
      </c>
      <c r="AB21" s="4">
        <f t="shared" si="2"/>
        <v>0</v>
      </c>
      <c r="AC21" s="4">
        <f t="shared" si="3"/>
        <v>0</v>
      </c>
      <c r="AD21" s="10">
        <f t="shared" si="4"/>
        <v>0</v>
      </c>
      <c r="AI21" s="7"/>
    </row>
    <row r="22" spans="1:38" x14ac:dyDescent="0.3">
      <c r="A22" s="6">
        <v>11</v>
      </c>
      <c r="B22" s="47">
        <v>8</v>
      </c>
      <c r="C22" s="53" t="s">
        <v>67</v>
      </c>
      <c r="D22" s="1"/>
      <c r="E22" s="1"/>
      <c r="F22" s="1"/>
      <c r="G22" s="1"/>
      <c r="H22" s="63"/>
      <c r="I22" s="1"/>
      <c r="J22" s="1"/>
      <c r="K22" s="1"/>
      <c r="L22" s="1"/>
      <c r="M22" s="1"/>
      <c r="N22" s="63"/>
      <c r="O22" s="1"/>
      <c r="P22" s="1"/>
      <c r="Q22" s="1"/>
      <c r="R22" s="1"/>
      <c r="S22" s="63"/>
      <c r="T22" s="1"/>
      <c r="U22" s="1"/>
      <c r="V22" s="1"/>
      <c r="W22" s="1"/>
      <c r="X22" s="1"/>
      <c r="Y22" s="63"/>
      <c r="Z22" s="4">
        <f t="shared" si="0"/>
        <v>0</v>
      </c>
      <c r="AA22" s="4">
        <f t="shared" si="1"/>
        <v>0</v>
      </c>
      <c r="AB22" s="4">
        <f t="shared" si="2"/>
        <v>0</v>
      </c>
      <c r="AC22" s="4">
        <f t="shared" si="3"/>
        <v>0</v>
      </c>
      <c r="AD22" s="10">
        <f t="shared" si="4"/>
        <v>0</v>
      </c>
    </row>
    <row r="23" spans="1:38" x14ac:dyDescent="0.3">
      <c r="A23" s="6">
        <v>12</v>
      </c>
      <c r="B23" s="47">
        <v>8</v>
      </c>
      <c r="C23" s="53" t="s">
        <v>68</v>
      </c>
      <c r="D23" s="1"/>
      <c r="E23" s="1"/>
      <c r="F23" s="1"/>
      <c r="G23" s="1"/>
      <c r="H23" s="63"/>
      <c r="I23" s="1"/>
      <c r="J23" s="1"/>
      <c r="K23" s="1"/>
      <c r="L23" s="1"/>
      <c r="M23" s="1"/>
      <c r="N23" s="63"/>
      <c r="O23" s="1"/>
      <c r="P23" s="1"/>
      <c r="Q23" s="1"/>
      <c r="R23" s="1"/>
      <c r="S23" s="63"/>
      <c r="T23" s="1"/>
      <c r="U23" s="1"/>
      <c r="V23" s="1"/>
      <c r="W23" s="1"/>
      <c r="X23" s="1"/>
      <c r="Y23" s="63"/>
      <c r="Z23" s="4">
        <f t="shared" si="0"/>
        <v>0</v>
      </c>
      <c r="AA23" s="4">
        <f t="shared" si="1"/>
        <v>0</v>
      </c>
      <c r="AB23" s="4">
        <f t="shared" si="2"/>
        <v>0</v>
      </c>
      <c r="AC23" s="4">
        <f t="shared" si="3"/>
        <v>0</v>
      </c>
      <c r="AD23" s="10">
        <f t="shared" si="4"/>
        <v>0</v>
      </c>
    </row>
    <row r="24" spans="1:38" x14ac:dyDescent="0.3">
      <c r="A24" s="6">
        <v>13</v>
      </c>
      <c r="B24" s="47">
        <v>8</v>
      </c>
      <c r="C24" s="53" t="s">
        <v>69</v>
      </c>
      <c r="D24" s="4"/>
      <c r="E24" s="4"/>
      <c r="F24" s="4"/>
      <c r="G24" s="4"/>
      <c r="H24" s="63"/>
      <c r="I24" s="1"/>
      <c r="J24" s="1"/>
      <c r="K24" s="1"/>
      <c r="L24" s="1"/>
      <c r="M24" s="1"/>
      <c r="N24" s="63"/>
      <c r="O24" s="4"/>
      <c r="P24" s="4"/>
      <c r="Q24" s="4"/>
      <c r="R24" s="4"/>
      <c r="S24" s="63"/>
      <c r="T24" s="4"/>
      <c r="U24" s="4"/>
      <c r="V24" s="4"/>
      <c r="W24" s="4"/>
      <c r="X24" s="4"/>
      <c r="Y24" s="63"/>
      <c r="Z24" s="4">
        <f t="shared" si="0"/>
        <v>0</v>
      </c>
      <c r="AA24" s="4">
        <f t="shared" si="1"/>
        <v>0</v>
      </c>
      <c r="AB24" s="4">
        <f t="shared" si="2"/>
        <v>0</v>
      </c>
      <c r="AC24" s="4">
        <f t="shared" si="3"/>
        <v>0</v>
      </c>
      <c r="AD24" s="10">
        <f t="shared" si="4"/>
        <v>0</v>
      </c>
    </row>
    <row r="25" spans="1:38" x14ac:dyDescent="0.3">
      <c r="A25" s="6">
        <v>14</v>
      </c>
      <c r="B25" s="47">
        <v>8</v>
      </c>
      <c r="C25" s="53" t="s">
        <v>70</v>
      </c>
      <c r="D25" s="4"/>
      <c r="E25" s="4"/>
      <c r="F25" s="4"/>
      <c r="G25" s="4"/>
      <c r="H25" s="63"/>
      <c r="I25" s="1"/>
      <c r="J25" s="1"/>
      <c r="K25" s="1"/>
      <c r="L25" s="1"/>
      <c r="M25" s="1"/>
      <c r="N25" s="63"/>
      <c r="O25" s="4"/>
      <c r="P25" s="4"/>
      <c r="Q25" s="4"/>
      <c r="R25" s="4"/>
      <c r="S25" s="63"/>
      <c r="T25" s="4"/>
      <c r="U25" s="4"/>
      <c r="V25" s="4"/>
      <c r="W25" s="4"/>
      <c r="X25" s="4"/>
      <c r="Y25" s="63"/>
      <c r="Z25" s="4">
        <f t="shared" si="0"/>
        <v>0</v>
      </c>
      <c r="AA25" s="4">
        <f t="shared" si="1"/>
        <v>0</v>
      </c>
      <c r="AB25" s="4">
        <f t="shared" si="2"/>
        <v>0</v>
      </c>
      <c r="AC25" s="4">
        <f t="shared" si="3"/>
        <v>0</v>
      </c>
      <c r="AD25" s="10">
        <f t="shared" si="4"/>
        <v>0</v>
      </c>
    </row>
    <row r="26" spans="1:38" x14ac:dyDescent="0.3">
      <c r="A26" s="6">
        <v>15</v>
      </c>
      <c r="B26" s="47">
        <v>8</v>
      </c>
      <c r="C26" s="53" t="s">
        <v>71</v>
      </c>
      <c r="D26" s="4"/>
      <c r="E26" s="4"/>
      <c r="F26" s="4"/>
      <c r="G26" s="4"/>
      <c r="H26" s="63"/>
      <c r="I26" s="1"/>
      <c r="J26" s="1"/>
      <c r="K26" s="1"/>
      <c r="L26" s="1"/>
      <c r="M26" s="1"/>
      <c r="N26" s="63"/>
      <c r="O26" s="4"/>
      <c r="P26" s="4"/>
      <c r="Q26" s="4"/>
      <c r="R26" s="4"/>
      <c r="S26" s="63"/>
      <c r="T26" s="4"/>
      <c r="U26" s="4"/>
      <c r="V26" s="4"/>
      <c r="W26" s="4"/>
      <c r="X26" s="4"/>
      <c r="Y26" s="63"/>
      <c r="Z26" s="4">
        <f t="shared" si="0"/>
        <v>0</v>
      </c>
      <c r="AA26" s="4">
        <f t="shared" si="1"/>
        <v>0</v>
      </c>
      <c r="AB26" s="4">
        <f t="shared" si="2"/>
        <v>0</v>
      </c>
      <c r="AC26" s="4">
        <f t="shared" si="3"/>
        <v>0</v>
      </c>
      <c r="AD26" s="10">
        <f t="shared" si="4"/>
        <v>0</v>
      </c>
    </row>
    <row r="27" spans="1:38" x14ac:dyDescent="0.3">
      <c r="A27" s="6">
        <v>16</v>
      </c>
      <c r="B27" s="54">
        <v>9</v>
      </c>
      <c r="C27" s="53" t="s">
        <v>72</v>
      </c>
      <c r="D27" s="4"/>
      <c r="E27" s="4"/>
      <c r="F27" s="4"/>
      <c r="G27" s="4"/>
      <c r="H27" s="63"/>
      <c r="I27" s="1"/>
      <c r="J27" s="1"/>
      <c r="K27" s="1"/>
      <c r="L27" s="1"/>
      <c r="M27" s="1"/>
      <c r="N27" s="63"/>
      <c r="O27" s="4"/>
      <c r="P27" s="4"/>
      <c r="Q27" s="4"/>
      <c r="R27" s="4"/>
      <c r="S27" s="63"/>
      <c r="T27" s="4"/>
      <c r="U27" s="4"/>
      <c r="V27" s="4"/>
      <c r="W27" s="4"/>
      <c r="X27" s="4"/>
      <c r="Y27" s="63"/>
      <c r="Z27" s="4">
        <f t="shared" si="0"/>
        <v>0</v>
      </c>
      <c r="AA27" s="4">
        <f t="shared" si="1"/>
        <v>0</v>
      </c>
      <c r="AB27" s="4">
        <f t="shared" si="2"/>
        <v>0</v>
      </c>
      <c r="AC27" s="4">
        <f t="shared" si="3"/>
        <v>0</v>
      </c>
      <c r="AD27" s="10">
        <f t="shared" si="4"/>
        <v>0</v>
      </c>
    </row>
    <row r="28" spans="1:38" x14ac:dyDescent="0.3">
      <c r="A28" s="6">
        <v>17</v>
      </c>
      <c r="B28" s="54">
        <v>9</v>
      </c>
      <c r="C28" s="53" t="s">
        <v>73</v>
      </c>
      <c r="D28" s="4"/>
      <c r="E28" s="4"/>
      <c r="F28" s="4"/>
      <c r="G28" s="4"/>
      <c r="H28" s="63"/>
      <c r="I28" s="1"/>
      <c r="J28" s="1"/>
      <c r="K28" s="1"/>
      <c r="L28" s="1"/>
      <c r="M28" s="1"/>
      <c r="N28" s="63"/>
      <c r="O28" s="4"/>
      <c r="P28" s="4"/>
      <c r="Q28" s="4"/>
      <c r="R28" s="4"/>
      <c r="S28" s="63"/>
      <c r="T28" s="4"/>
      <c r="U28" s="4"/>
      <c r="V28" s="4"/>
      <c r="W28" s="4"/>
      <c r="X28" s="4"/>
      <c r="Y28" s="63"/>
      <c r="Z28" s="4">
        <f t="shared" si="0"/>
        <v>0</v>
      </c>
      <c r="AA28" s="4">
        <f t="shared" si="1"/>
        <v>0</v>
      </c>
      <c r="AB28" s="4">
        <f t="shared" si="2"/>
        <v>0</v>
      </c>
      <c r="AC28" s="4">
        <f t="shared" si="3"/>
        <v>0</v>
      </c>
      <c r="AD28" s="10">
        <f t="shared" si="4"/>
        <v>0</v>
      </c>
    </row>
    <row r="29" spans="1:38" x14ac:dyDescent="0.3">
      <c r="A29" s="6">
        <v>18</v>
      </c>
      <c r="B29" s="54">
        <v>9</v>
      </c>
      <c r="C29" s="53" t="s">
        <v>74</v>
      </c>
      <c r="D29" s="4"/>
      <c r="E29" s="4"/>
      <c r="F29" s="4"/>
      <c r="G29" s="4"/>
      <c r="H29" s="63"/>
      <c r="I29" s="1"/>
      <c r="J29" s="1"/>
      <c r="K29" s="1"/>
      <c r="L29" s="1"/>
      <c r="M29" s="1"/>
      <c r="N29" s="63"/>
      <c r="O29" s="4"/>
      <c r="P29" s="4"/>
      <c r="Q29" s="4"/>
      <c r="R29" s="4"/>
      <c r="S29" s="63"/>
      <c r="T29" s="4"/>
      <c r="U29" s="4"/>
      <c r="V29" s="4"/>
      <c r="W29" s="4"/>
      <c r="X29" s="4"/>
      <c r="Y29" s="63"/>
      <c r="Z29" s="4">
        <f t="shared" si="0"/>
        <v>0</v>
      </c>
      <c r="AA29" s="4">
        <f t="shared" si="1"/>
        <v>0</v>
      </c>
      <c r="AB29" s="4">
        <f t="shared" si="2"/>
        <v>0</v>
      </c>
      <c r="AC29" s="4">
        <f t="shared" si="3"/>
        <v>0</v>
      </c>
      <c r="AD29" s="10">
        <f t="shared" si="4"/>
        <v>0</v>
      </c>
    </row>
    <row r="30" spans="1:38" x14ac:dyDescent="0.3">
      <c r="A30" s="6">
        <v>19</v>
      </c>
      <c r="B30" s="54">
        <v>9</v>
      </c>
      <c r="C30" s="53" t="s">
        <v>75</v>
      </c>
      <c r="D30" s="4"/>
      <c r="E30" s="4"/>
      <c r="F30" s="4"/>
      <c r="G30" s="4"/>
      <c r="H30" s="63"/>
      <c r="I30" s="1"/>
      <c r="J30" s="1"/>
      <c r="K30" s="1"/>
      <c r="L30" s="1"/>
      <c r="M30" s="1"/>
      <c r="N30" s="63"/>
      <c r="O30" s="4"/>
      <c r="P30" s="4"/>
      <c r="Q30" s="4"/>
      <c r="R30" s="4"/>
      <c r="S30" s="63"/>
      <c r="T30" s="4"/>
      <c r="U30" s="4"/>
      <c r="V30" s="4"/>
      <c r="W30" s="4"/>
      <c r="X30" s="4"/>
      <c r="Y30" s="63"/>
      <c r="Z30" s="4">
        <f t="shared" si="0"/>
        <v>0</v>
      </c>
      <c r="AA30" s="4">
        <f t="shared" si="1"/>
        <v>0</v>
      </c>
      <c r="AB30" s="4">
        <f t="shared" si="2"/>
        <v>0</v>
      </c>
      <c r="AC30" s="4">
        <f t="shared" si="3"/>
        <v>0</v>
      </c>
      <c r="AD30" s="10">
        <f t="shared" si="4"/>
        <v>0</v>
      </c>
    </row>
    <row r="31" spans="1:38" x14ac:dyDescent="0.3">
      <c r="A31" s="6">
        <v>20</v>
      </c>
      <c r="B31" s="54">
        <v>9</v>
      </c>
      <c r="C31" s="53" t="s">
        <v>76</v>
      </c>
      <c r="D31" s="4"/>
      <c r="E31" s="4"/>
      <c r="F31" s="4"/>
      <c r="G31" s="4"/>
      <c r="H31" s="63"/>
      <c r="I31" s="1"/>
      <c r="J31" s="1"/>
      <c r="K31" s="1"/>
      <c r="L31" s="1"/>
      <c r="M31" s="1"/>
      <c r="N31" s="63"/>
      <c r="O31" s="4"/>
      <c r="P31" s="4"/>
      <c r="Q31" s="4"/>
      <c r="R31" s="4"/>
      <c r="S31" s="63"/>
      <c r="T31" s="4"/>
      <c r="U31" s="4"/>
      <c r="V31" s="4"/>
      <c r="W31" s="4"/>
      <c r="X31" s="4"/>
      <c r="Y31" s="63"/>
      <c r="Z31" s="4">
        <f t="shared" si="0"/>
        <v>0</v>
      </c>
      <c r="AA31" s="4">
        <f t="shared" si="1"/>
        <v>0</v>
      </c>
      <c r="AB31" s="4">
        <f t="shared" si="2"/>
        <v>0</v>
      </c>
      <c r="AC31" s="4">
        <f t="shared" si="3"/>
        <v>0</v>
      </c>
      <c r="AD31" s="10">
        <f t="shared" si="4"/>
        <v>0</v>
      </c>
    </row>
    <row r="32" spans="1:38" x14ac:dyDescent="0.3">
      <c r="A32" s="6">
        <v>21</v>
      </c>
      <c r="B32" s="54">
        <v>10</v>
      </c>
      <c r="C32" s="53" t="s">
        <v>77</v>
      </c>
      <c r="D32" s="4"/>
      <c r="E32" s="4"/>
      <c r="F32" s="4"/>
      <c r="G32" s="4"/>
      <c r="H32" s="63"/>
      <c r="I32" s="1"/>
      <c r="J32" s="1"/>
      <c r="K32" s="1"/>
      <c r="L32" s="1"/>
      <c r="M32" s="1"/>
      <c r="N32" s="63"/>
      <c r="O32" s="4"/>
      <c r="P32" s="4"/>
      <c r="Q32" s="4"/>
      <c r="R32" s="4"/>
      <c r="S32" s="63"/>
      <c r="T32" s="4"/>
      <c r="U32" s="4"/>
      <c r="V32" s="4"/>
      <c r="W32" s="4"/>
      <c r="X32" s="4"/>
      <c r="Y32" s="63"/>
      <c r="Z32" s="4">
        <f t="shared" si="0"/>
        <v>0</v>
      </c>
      <c r="AA32" s="4">
        <f t="shared" si="1"/>
        <v>0</v>
      </c>
      <c r="AB32" s="4">
        <f t="shared" si="2"/>
        <v>0</v>
      </c>
      <c r="AC32" s="4">
        <f t="shared" si="3"/>
        <v>0</v>
      </c>
      <c r="AD32" s="10">
        <f t="shared" si="4"/>
        <v>0</v>
      </c>
    </row>
    <row r="33" spans="1:30" x14ac:dyDescent="0.3">
      <c r="A33" s="6">
        <v>22</v>
      </c>
      <c r="B33" s="54">
        <v>10</v>
      </c>
      <c r="C33" s="53" t="s">
        <v>78</v>
      </c>
      <c r="D33" s="4"/>
      <c r="E33" s="4"/>
      <c r="F33" s="4"/>
      <c r="G33" s="4"/>
      <c r="H33" s="63"/>
      <c r="I33" s="1"/>
      <c r="J33" s="1"/>
      <c r="K33" s="1"/>
      <c r="L33" s="1"/>
      <c r="M33" s="1"/>
      <c r="N33" s="63"/>
      <c r="O33" s="4"/>
      <c r="P33" s="4"/>
      <c r="Q33" s="4"/>
      <c r="R33" s="4"/>
      <c r="S33" s="63"/>
      <c r="T33" s="4"/>
      <c r="U33" s="4"/>
      <c r="V33" s="4"/>
      <c r="W33" s="4"/>
      <c r="X33" s="4"/>
      <c r="Y33" s="63"/>
      <c r="Z33" s="4">
        <f t="shared" si="0"/>
        <v>0</v>
      </c>
      <c r="AA33" s="4">
        <f t="shared" si="1"/>
        <v>0</v>
      </c>
      <c r="AB33" s="4">
        <f t="shared" si="2"/>
        <v>0</v>
      </c>
      <c r="AC33" s="4">
        <f t="shared" si="3"/>
        <v>0</v>
      </c>
      <c r="AD33" s="10">
        <f t="shared" si="4"/>
        <v>0</v>
      </c>
    </row>
    <row r="34" spans="1:30" x14ac:dyDescent="0.3">
      <c r="A34" s="6">
        <v>23</v>
      </c>
      <c r="B34" s="54">
        <v>10</v>
      </c>
      <c r="C34" s="53" t="s">
        <v>79</v>
      </c>
      <c r="D34" s="4"/>
      <c r="E34" s="4"/>
      <c r="F34" s="4"/>
      <c r="G34" s="4"/>
      <c r="H34" s="63"/>
      <c r="I34" s="1"/>
      <c r="J34" s="1"/>
      <c r="K34" s="1"/>
      <c r="L34" s="1"/>
      <c r="M34" s="1"/>
      <c r="N34" s="63"/>
      <c r="O34" s="4"/>
      <c r="P34" s="4"/>
      <c r="Q34" s="4"/>
      <c r="R34" s="4"/>
      <c r="S34" s="63"/>
      <c r="T34" s="4"/>
      <c r="U34" s="4"/>
      <c r="V34" s="4"/>
      <c r="W34" s="4"/>
      <c r="X34" s="4"/>
      <c r="Y34" s="63"/>
      <c r="Z34" s="4">
        <f t="shared" si="0"/>
        <v>0</v>
      </c>
      <c r="AA34" s="4">
        <f t="shared" si="1"/>
        <v>0</v>
      </c>
      <c r="AB34" s="4">
        <f t="shared" si="2"/>
        <v>0</v>
      </c>
      <c r="AC34" s="4">
        <f t="shared" si="3"/>
        <v>0</v>
      </c>
      <c r="AD34" s="10">
        <f t="shared" si="4"/>
        <v>0</v>
      </c>
    </row>
    <row r="35" spans="1:30" x14ac:dyDescent="0.3">
      <c r="A35" s="6">
        <v>24</v>
      </c>
      <c r="B35" s="54">
        <v>10</v>
      </c>
      <c r="C35" s="53" t="s">
        <v>80</v>
      </c>
      <c r="D35" s="4"/>
      <c r="E35" s="4"/>
      <c r="F35" s="4"/>
      <c r="G35" s="4"/>
      <c r="H35" s="63"/>
      <c r="I35" s="1"/>
      <c r="J35" s="1"/>
      <c r="K35" s="1"/>
      <c r="L35" s="1"/>
      <c r="M35" s="1"/>
      <c r="N35" s="63"/>
      <c r="O35" s="4"/>
      <c r="P35" s="4"/>
      <c r="Q35" s="4"/>
      <c r="R35" s="4"/>
      <c r="S35" s="63"/>
      <c r="T35" s="4"/>
      <c r="U35" s="4"/>
      <c r="V35" s="4"/>
      <c r="W35" s="4"/>
      <c r="X35" s="4"/>
      <c r="Y35" s="63"/>
      <c r="Z35" s="4">
        <f t="shared" si="0"/>
        <v>0</v>
      </c>
      <c r="AA35" s="4">
        <f t="shared" si="1"/>
        <v>0</v>
      </c>
      <c r="AB35" s="4">
        <f t="shared" si="2"/>
        <v>0</v>
      </c>
      <c r="AC35" s="4">
        <f t="shared" si="3"/>
        <v>0</v>
      </c>
      <c r="AD35" s="10">
        <f t="shared" si="4"/>
        <v>0</v>
      </c>
    </row>
    <row r="36" spans="1:30" x14ac:dyDescent="0.3">
      <c r="A36" s="6">
        <v>25</v>
      </c>
      <c r="B36" s="54">
        <v>10</v>
      </c>
      <c r="C36" s="53" t="s">
        <v>81</v>
      </c>
      <c r="D36" s="4"/>
      <c r="E36" s="4"/>
      <c r="F36" s="4"/>
      <c r="G36" s="4"/>
      <c r="H36" s="63"/>
      <c r="I36" s="1"/>
      <c r="J36" s="1"/>
      <c r="K36" s="1"/>
      <c r="L36" s="1"/>
      <c r="M36" s="1"/>
      <c r="N36" s="63"/>
      <c r="O36" s="4"/>
      <c r="P36" s="4"/>
      <c r="Q36" s="4"/>
      <c r="R36" s="4"/>
      <c r="S36" s="63"/>
      <c r="T36" s="4"/>
      <c r="U36" s="4"/>
      <c r="V36" s="4"/>
      <c r="W36" s="4"/>
      <c r="X36" s="4"/>
      <c r="Y36" s="63"/>
      <c r="Z36" s="4">
        <f t="shared" si="0"/>
        <v>0</v>
      </c>
      <c r="AA36" s="4">
        <f t="shared" si="1"/>
        <v>0</v>
      </c>
      <c r="AB36" s="4">
        <f t="shared" si="2"/>
        <v>0</v>
      </c>
      <c r="AC36" s="4">
        <f t="shared" si="3"/>
        <v>0</v>
      </c>
      <c r="AD36" s="10">
        <f t="shared" si="4"/>
        <v>0</v>
      </c>
    </row>
    <row r="37" spans="1:30" x14ac:dyDescent="0.3">
      <c r="A37" s="6">
        <v>26</v>
      </c>
      <c r="B37" s="54">
        <v>10</v>
      </c>
      <c r="C37" s="53" t="s">
        <v>82</v>
      </c>
      <c r="D37" s="4"/>
      <c r="E37" s="4"/>
      <c r="F37" s="4"/>
      <c r="G37" s="4"/>
      <c r="H37" s="63"/>
      <c r="I37" s="1"/>
      <c r="J37" s="1"/>
      <c r="K37" s="1"/>
      <c r="L37" s="1"/>
      <c r="M37" s="1"/>
      <c r="N37" s="63"/>
      <c r="O37" s="4"/>
      <c r="P37" s="4"/>
      <c r="Q37" s="4"/>
      <c r="R37" s="4"/>
      <c r="S37" s="63"/>
      <c r="T37" s="4"/>
      <c r="U37" s="4"/>
      <c r="V37" s="4"/>
      <c r="W37" s="4"/>
      <c r="X37" s="4"/>
      <c r="Y37" s="63"/>
      <c r="Z37" s="4">
        <f t="shared" ref="Z37:Z39" si="5">COUNTIF(D37:Y37,1)</f>
        <v>0</v>
      </c>
      <c r="AA37" s="4">
        <f t="shared" ref="AA37:AA39" si="6">COUNTIF(D37:Y37,0)</f>
        <v>0</v>
      </c>
      <c r="AB37" s="4">
        <f t="shared" ref="AB37:AB39" si="7">COUNTIF(D37:Y37,"T")</f>
        <v>0</v>
      </c>
      <c r="AC37" s="4">
        <f t="shared" ref="AC37:AC39" si="8">COUNTIF(D37:Y37,"J")</f>
        <v>0</v>
      </c>
      <c r="AD37" s="10">
        <f t="shared" ref="AD37:AD39" si="9">SUM(Z37+AB37)/18</f>
        <v>0</v>
      </c>
    </row>
    <row r="38" spans="1:30" x14ac:dyDescent="0.3">
      <c r="A38" s="6">
        <v>27</v>
      </c>
      <c r="B38" s="54">
        <v>10</v>
      </c>
      <c r="C38" s="53" t="s">
        <v>83</v>
      </c>
      <c r="D38" s="4"/>
      <c r="E38" s="4"/>
      <c r="F38" s="4"/>
      <c r="G38" s="4"/>
      <c r="H38" s="63"/>
      <c r="I38" s="1"/>
      <c r="J38" s="1"/>
      <c r="K38" s="1"/>
      <c r="L38" s="1"/>
      <c r="M38" s="1"/>
      <c r="N38" s="63"/>
      <c r="O38" s="4"/>
      <c r="P38" s="4"/>
      <c r="Q38" s="4"/>
      <c r="R38" s="4"/>
      <c r="S38" s="63"/>
      <c r="T38" s="4"/>
      <c r="U38" s="4"/>
      <c r="V38" s="4"/>
      <c r="W38" s="4"/>
      <c r="X38" s="4"/>
      <c r="Y38" s="63"/>
      <c r="Z38" s="4">
        <f t="shared" si="5"/>
        <v>0</v>
      </c>
      <c r="AA38" s="4">
        <f t="shared" si="6"/>
        <v>0</v>
      </c>
      <c r="AB38" s="4">
        <f t="shared" si="7"/>
        <v>0</v>
      </c>
      <c r="AC38" s="4">
        <f t="shared" si="8"/>
        <v>0</v>
      </c>
      <c r="AD38" s="10">
        <f t="shared" si="9"/>
        <v>0</v>
      </c>
    </row>
    <row r="39" spans="1:30" x14ac:dyDescent="0.3">
      <c r="A39" s="6">
        <v>28</v>
      </c>
      <c r="B39" s="54">
        <v>11</v>
      </c>
      <c r="C39" s="53" t="s">
        <v>84</v>
      </c>
      <c r="D39" s="4"/>
      <c r="E39" s="4"/>
      <c r="F39" s="4"/>
      <c r="G39" s="4"/>
      <c r="H39" s="63"/>
      <c r="I39" s="1"/>
      <c r="J39" s="1"/>
      <c r="K39" s="1"/>
      <c r="L39" s="1"/>
      <c r="M39" s="1"/>
      <c r="N39" s="63"/>
      <c r="O39" s="4"/>
      <c r="P39" s="4"/>
      <c r="Q39" s="4"/>
      <c r="R39" s="4"/>
      <c r="S39" s="63"/>
      <c r="T39" s="4"/>
      <c r="U39" s="4"/>
      <c r="V39" s="4"/>
      <c r="W39" s="4"/>
      <c r="X39" s="4"/>
      <c r="Y39" s="63"/>
      <c r="Z39" s="4">
        <f t="shared" si="5"/>
        <v>0</v>
      </c>
      <c r="AA39" s="4">
        <f t="shared" si="6"/>
        <v>0</v>
      </c>
      <c r="AB39" s="4">
        <f t="shared" si="7"/>
        <v>0</v>
      </c>
      <c r="AC39" s="4">
        <f t="shared" si="8"/>
        <v>0</v>
      </c>
      <c r="AD39" s="10">
        <f t="shared" si="9"/>
        <v>0</v>
      </c>
    </row>
  </sheetData>
  <mergeCells count="23">
    <mergeCell ref="AG11:AN11"/>
    <mergeCell ref="H11:H39"/>
    <mergeCell ref="N11:N39"/>
    <mergeCell ref="S11:S39"/>
    <mergeCell ref="Y11:Y39"/>
    <mergeCell ref="C2:Z6"/>
    <mergeCell ref="AA2:AC3"/>
    <mergeCell ref="AD2:AD7"/>
    <mergeCell ref="AA4:AC5"/>
    <mergeCell ref="AA6:AC7"/>
    <mergeCell ref="C7:Z7"/>
    <mergeCell ref="A8:AD8"/>
    <mergeCell ref="A9:B9"/>
    <mergeCell ref="C9:G9"/>
    <mergeCell ref="H9:J9"/>
    <mergeCell ref="K9:S9"/>
    <mergeCell ref="Y9:AD9"/>
    <mergeCell ref="AC10:AD10"/>
    <mergeCell ref="A10:B10"/>
    <mergeCell ref="C10:J10"/>
    <mergeCell ref="K10:S10"/>
    <mergeCell ref="T10:Z10"/>
    <mergeCell ref="AA10:AB10"/>
  </mergeCells>
  <conditionalFormatting sqref="H11 I12 D12:G39 O12:R39 T12:X39 N11 S11 Y11">
    <cfRule type="cellIs" dxfId="74" priority="252" stopIfTrue="1" operator="equal">
      <formula>"T"</formula>
    </cfRule>
  </conditionalFormatting>
  <conditionalFormatting sqref="H11 I12 O12:R23 T12:X23 G13:G23">
    <cfRule type="cellIs" dxfId="73" priority="2" operator="equal">
      <formula>"T"</formula>
    </cfRule>
  </conditionalFormatting>
  <conditionalFormatting sqref="H11 N11 S11 Y11 I12 D12:G39 O12:R39 T12:X39">
    <cfRule type="cellIs" dxfId="72" priority="254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3" id="{9C5F5212-D4A6-41DF-9E38-5A91201A21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G13:G15 D40:Y63 D24:G39 O24:R39 T24:X39</xm:sqref>
        </x14:conditionalFormatting>
        <x14:conditionalFormatting xmlns:xm="http://schemas.microsoft.com/office/excel/2006/main">
          <x14:cfRule type="iconSet" priority="253" id="{839F3F30-1732-4DDC-8FD4-3FB76CDB6D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S11 H11 N11 Y11 D12:G39 I12 O12:R39 T12:X39</xm:sqref>
        </x14:conditionalFormatting>
        <x14:conditionalFormatting xmlns:xm="http://schemas.microsoft.com/office/excel/2006/main">
          <x14:cfRule type="iconSet" priority="251" id="{4CB46429-9D82-49AF-B08F-5629593F0F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T12:X12 I12 G13:G23 H11 O12:R12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Enero!Área_de_impresión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Suarez Ortiz</dc:creator>
  <cp:lastModifiedBy>Andres Paz</cp:lastModifiedBy>
  <cp:lastPrinted>2026-01-18T02:53:36Z</cp:lastPrinted>
  <dcterms:created xsi:type="dcterms:W3CDTF">2025-01-21T13:06:07Z</dcterms:created>
  <dcterms:modified xsi:type="dcterms:W3CDTF">2026-08-17T20:57:53Z</dcterms:modified>
</cp:coreProperties>
</file>